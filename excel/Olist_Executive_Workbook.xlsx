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dixi9\Desktop\Data\Final\excel\"/>
    </mc:Choice>
  </mc:AlternateContent>
  <xr:revisionPtr revIDLastSave="0" documentId="13_ncr:1_{7C76B740-0777-4207-A2E4-102AC0FEA406}" xr6:coauthVersionLast="47" xr6:coauthVersionMax="47" xr10:uidLastSave="{00000000-0000-0000-0000-000000000000}"/>
  <bookViews>
    <workbookView xWindow="-110" yWindow="-110" windowWidth="19420" windowHeight="10300" firstSheet="1" activeTab="5" xr2:uid="{2A0617D6-B8AB-4C05-8150-5EA2D168527B}"/>
  </bookViews>
  <sheets>
    <sheet name="Data" sheetId="1" r:id="rId1"/>
    <sheet name="States" sheetId="14" r:id="rId2"/>
    <sheet name="Monthly" sheetId="8" r:id="rId3"/>
    <sheet name="Matrix" sheetId="9" r:id="rId4"/>
    <sheet name="Scorecard" sheetId="10" r:id="rId5"/>
    <sheet name="Dashboard" sheetId="11" r:id="rId6"/>
  </sheets>
  <definedNames>
    <definedName name="Slicer_seller_state">#N/A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5" i="9" l="1"/>
  <c r="G4" i="9"/>
  <c r="I5" i="10"/>
  <c r="I6" i="10"/>
  <c r="I7" i="10"/>
  <c r="I8" i="10"/>
  <c r="I9" i="10"/>
  <c r="I10" i="10"/>
  <c r="I11" i="10"/>
  <c r="I12" i="10"/>
  <c r="I13" i="10"/>
  <c r="I14" i="10"/>
  <c r="I15" i="10"/>
  <c r="I16" i="10"/>
  <c r="I17" i="10"/>
  <c r="I18" i="10"/>
  <c r="I19" i="10"/>
  <c r="I20" i="10"/>
  <c r="I21" i="10"/>
  <c r="I22" i="10"/>
  <c r="I23" i="10"/>
  <c r="I4" i="10"/>
  <c r="H5" i="10"/>
  <c r="H6" i="10"/>
  <c r="H7" i="10"/>
  <c r="H8" i="10"/>
  <c r="H9" i="10"/>
  <c r="H10" i="10"/>
  <c r="H11" i="10"/>
  <c r="H12" i="10"/>
  <c r="H13" i="10"/>
  <c r="H14" i="10"/>
  <c r="H15" i="10"/>
  <c r="H16" i="10"/>
  <c r="H17" i="10"/>
  <c r="H18" i="10"/>
  <c r="H19" i="10"/>
  <c r="H20" i="10"/>
  <c r="H21" i="10"/>
  <c r="H22" i="10"/>
  <c r="H23" i="10"/>
  <c r="G5" i="10"/>
  <c r="G6" i="10"/>
  <c r="G7" i="10"/>
  <c r="G8" i="10"/>
  <c r="G9" i="10"/>
  <c r="G10" i="10"/>
  <c r="G11" i="10"/>
  <c r="G12" i="10"/>
  <c r="G13" i="10"/>
  <c r="G14" i="10"/>
  <c r="G15" i="10"/>
  <c r="G16" i="10"/>
  <c r="G17" i="10"/>
  <c r="G18" i="10"/>
  <c r="G19" i="10"/>
  <c r="G20" i="10"/>
  <c r="G21" i="10"/>
  <c r="G22" i="10"/>
  <c r="G23" i="10"/>
  <c r="F5" i="10"/>
  <c r="F6" i="10"/>
  <c r="F7" i="10"/>
  <c r="F8" i="10"/>
  <c r="F9" i="10"/>
  <c r="F10" i="10"/>
  <c r="F11" i="10"/>
  <c r="F12" i="10"/>
  <c r="F13" i="10"/>
  <c r="F14" i="10"/>
  <c r="F15" i="10"/>
  <c r="F16" i="10"/>
  <c r="F17" i="10"/>
  <c r="F18" i="10"/>
  <c r="F19" i="10"/>
  <c r="F20" i="10"/>
  <c r="F21" i="10"/>
  <c r="F22" i="10"/>
  <c r="F23" i="10"/>
  <c r="E5" i="10"/>
  <c r="E6" i="10"/>
  <c r="E7" i="10"/>
  <c r="E8" i="10"/>
  <c r="H4" i="10" s="1"/>
  <c r="E9" i="10"/>
  <c r="E10" i="10"/>
  <c r="E11" i="10"/>
  <c r="E12" i="10"/>
  <c r="E13" i="10"/>
  <c r="E14" i="10"/>
  <c r="E15" i="10"/>
  <c r="E16" i="10"/>
  <c r="E17" i="10"/>
  <c r="E18" i="10"/>
  <c r="E19" i="10"/>
  <c r="E20" i="10"/>
  <c r="E21" i="10"/>
  <c r="E22" i="10"/>
  <c r="E23" i="10"/>
  <c r="D5" i="10"/>
  <c r="D6" i="10"/>
  <c r="D7" i="10"/>
  <c r="D8" i="10"/>
  <c r="D9" i="10"/>
  <c r="D10" i="10"/>
  <c r="D11" i="10"/>
  <c r="D12" i="10"/>
  <c r="D13" i="10"/>
  <c r="D14" i="10"/>
  <c r="D15" i="10"/>
  <c r="D16" i="10"/>
  <c r="D17" i="10"/>
  <c r="D18" i="10"/>
  <c r="D19" i="10"/>
  <c r="D20" i="10"/>
  <c r="D21" i="10"/>
  <c r="D22" i="10"/>
  <c r="D23" i="10"/>
  <c r="C5" i="10"/>
  <c r="C6" i="10"/>
  <c r="C7" i="10"/>
  <c r="C8" i="10"/>
  <c r="C9" i="10"/>
  <c r="C10" i="10"/>
  <c r="C11" i="10"/>
  <c r="C12" i="10"/>
  <c r="C13" i="10"/>
  <c r="C14" i="10"/>
  <c r="C15" i="10"/>
  <c r="C16" i="10"/>
  <c r="C17" i="10"/>
  <c r="C18" i="10"/>
  <c r="C19" i="10"/>
  <c r="C20" i="10"/>
  <c r="C21" i="10"/>
  <c r="C22" i="10"/>
  <c r="C23" i="10"/>
  <c r="G4" i="10"/>
  <c r="F4" i="10"/>
  <c r="E4" i="10"/>
  <c r="D4" i="10"/>
  <c r="C4" i="10"/>
  <c r="B5" i="10"/>
  <c r="B6" i="10"/>
  <c r="B7" i="10"/>
  <c r="B8" i="10"/>
  <c r="B9" i="10"/>
  <c r="B10" i="10"/>
  <c r="B11" i="10"/>
  <c r="B12" i="10"/>
  <c r="B13" i="10"/>
  <c r="B14" i="10"/>
  <c r="B15" i="10"/>
  <c r="B16" i="10"/>
  <c r="B17" i="10"/>
  <c r="B18" i="10"/>
  <c r="B19" i="10"/>
  <c r="B20" i="10"/>
  <c r="B21" i="10"/>
  <c r="B22" i="10"/>
  <c r="B23" i="10"/>
  <c r="B4" i="10"/>
</calcChain>
</file>

<file path=xl/sharedStrings.xml><?xml version="1.0" encoding="utf-8"?>
<sst xmlns="http://schemas.openxmlformats.org/spreadsheetml/2006/main" count="6157" uniqueCount="3079">
  <si>
    <t>seller_id</t>
  </si>
  <si>
    <t>seller_state</t>
  </si>
  <si>
    <t>orders</t>
  </si>
  <si>
    <t>items_sold</t>
  </si>
  <si>
    <t>revenue</t>
  </si>
  <si>
    <t>avg_review_score</t>
  </si>
  <si>
    <t>on_time_pct</t>
  </si>
  <si>
    <t>4869f7a5dfa277a7dca6462dcf3b52b2</t>
  </si>
  <si>
    <t>SP</t>
  </si>
  <si>
    <t>7c67e1448b00f6e969d365cea6b010ab</t>
  </si>
  <si>
    <t>4a3ca9315b744ce9f8e9374361493884</t>
  </si>
  <si>
    <t>53243585a1d6dc2643021fd1853d8905</t>
  </si>
  <si>
    <t>BA</t>
  </si>
  <si>
    <t>fa1c13f2614d7b5c4749cbc52fecda94</t>
  </si>
  <si>
    <t>da8622b14eb17ae2831f4ac5b9dab84a</t>
  </si>
  <si>
    <t>7e93a43ef30c4f03f38b393420bc753a</t>
  </si>
  <si>
    <t>1025f0e2d44d7041d6cf58b6550e0bfa</t>
  </si>
  <si>
    <t>7a67c85e85bb2ce8582c35f2203ad736</t>
  </si>
  <si>
    <t>955fee9216a65b617aa5c0531780ce60</t>
  </si>
  <si>
    <t>6560211a19b47992c3666cc44a7e94c0</t>
  </si>
  <si>
    <t>1f50f920176fa81dab994f9023523100</t>
  </si>
  <si>
    <t>46dc3b2cc0980fb8ec44634e21d2718e</t>
  </si>
  <si>
    <t>RJ</t>
  </si>
  <si>
    <t>a1043bafd471dff536d0c462352beb48</t>
  </si>
  <si>
    <t>MG</t>
  </si>
  <si>
    <t>620c87c171fb2a6dd6e8bb4dec959fc6</t>
  </si>
  <si>
    <t>cc419e0650a3c5ba77189a1882b7556a</t>
  </si>
  <si>
    <t>5dceca129747e92ff8ef7a997dc4f8ca</t>
  </si>
  <si>
    <t>7d13fca15225358621be4086e1eb0964</t>
  </si>
  <si>
    <t>3d871de0142ce09b7081e2b9d1733cb1</t>
  </si>
  <si>
    <t>edb1ef5e36e0c8cd84eb3c9b003e486d</t>
  </si>
  <si>
    <t>ccc4bbb5f32a6ab2b7066a4130f114e3</t>
  </si>
  <si>
    <t>PR</t>
  </si>
  <si>
    <t>cca3071e3e9bb7d12640c9fbe2301306</t>
  </si>
  <si>
    <t>8581055ce74af1daba164fdbd55a40de</t>
  </si>
  <si>
    <t>f7ba60f8c3f99e7ee4042fdef03b70c4</t>
  </si>
  <si>
    <t>fe2032dab1a61af8794248c8196565c9</t>
  </si>
  <si>
    <t>de722cd6dad950a92b7d4f82673f8833</t>
  </si>
  <si>
    <t>PE</t>
  </si>
  <si>
    <t>f8db351d8c4c4c22c6835c19a46f01b0</t>
  </si>
  <si>
    <t>7ddcbb64b5bc1ef36ca8c151f6ec77df</t>
  </si>
  <si>
    <t>04308b1ee57b6625f47df1d56f00eedf</t>
  </si>
  <si>
    <t>SC</t>
  </si>
  <si>
    <t>522620dcb18a6b31cd7bdf73665113a9</t>
  </si>
  <si>
    <t>218d46b86c1881d022bce9c68a7d4b15</t>
  </si>
  <si>
    <t>25c5c91f63607446a97b143d2d535d31</t>
  </si>
  <si>
    <t>37be5a7c751166fbc5f8ccba4119e043</t>
  </si>
  <si>
    <t>17e34d8224d27a541263c4c64b11a56b</t>
  </si>
  <si>
    <t>17f51e7198701186712e53a39c564617</t>
  </si>
  <si>
    <t>ceaec5548eefc6e23e6607c5435102e7</t>
  </si>
  <si>
    <t>b2ba3715d723d245138f291a6fe42594</t>
  </si>
  <si>
    <t>f5a590cf36251cf1162ea35bef76fe84</t>
  </si>
  <si>
    <t>8160255418d5aaa7dbdc9f4c64ebda44</t>
  </si>
  <si>
    <t>ea8482cd71df3c1969d7b9473ff13abc</t>
  </si>
  <si>
    <t>77530e9772f57a62c906e1c21538ab82</t>
  </si>
  <si>
    <t>e882b2a25a10b9c057cc49695f222c19</t>
  </si>
  <si>
    <t>4e922959ae960d389249c378d1c939f5</t>
  </si>
  <si>
    <t>e9779976487b77c6d4ac45f75ec7afe9</t>
  </si>
  <si>
    <t>2bf6a2c1e71bbd29a4ad64e6d3c3629f</t>
  </si>
  <si>
    <t>4d6d651bd7684af3fffabd5f08d12e5a</t>
  </si>
  <si>
    <t>c826c40d7b19f62a09e2d7c5e7295ee2</t>
  </si>
  <si>
    <t>391fc6631aebcf3004804e51b40bcf1e</t>
  </si>
  <si>
    <t>c3cfdc648177fdbbbb35635a37472c53</t>
  </si>
  <si>
    <t>17a053fcb14bd219540cbde0df490be0</t>
  </si>
  <si>
    <t>d91fb3b7d041e83b64a00a3edfb37e4f</t>
  </si>
  <si>
    <t>850f4f8af5ea87287ac68de36e29107f</t>
  </si>
  <si>
    <t>06a2c3af7b3aee5d69171b0e14f0ee87</t>
  </si>
  <si>
    <t>MA</t>
  </si>
  <si>
    <t>966cb4760537b1404caedd472cc610a5</t>
  </si>
  <si>
    <t>b33e7c55446eabf8fe1a42d037ac7d6d</t>
  </si>
  <si>
    <t>eeb6de78f79159600292e314a77cbd18</t>
  </si>
  <si>
    <t>712e6ed8aa4aa1fa65dab41fed5737e4</t>
  </si>
  <si>
    <t>ba90964cff9b9e0e6f32b23b82465f7b</t>
  </si>
  <si>
    <t>634964b17796e64304cadf1ad3050fb7</t>
  </si>
  <si>
    <t>834f3294fba9f932f56edc879193f925</t>
  </si>
  <si>
    <t>7142540dd4c91e2237acb7e911c4eba2</t>
  </si>
  <si>
    <t>b839e41795b7f3ad94cc2014a52f6796</t>
  </si>
  <si>
    <t>2eb70248d66e0e3ef83659f71b244378</t>
  </si>
  <si>
    <t>1835b56ce799e6a4dc4eddc053f04066</t>
  </si>
  <si>
    <t>7178f9f4dd81dcef02f62acdf8151e01</t>
  </si>
  <si>
    <t>7299e27ed73d2ad986de7f7c77d919fa</t>
  </si>
  <si>
    <t>dbc22125167c298ef99da25668e1011f</t>
  </si>
  <si>
    <t>c70c1b0d8ca86052f45a432a38b73958</t>
  </si>
  <si>
    <t>c3867b4666c7d76867627c2f7fb22e21</t>
  </si>
  <si>
    <t>53e4c6e0f4312d4d2107a8c9cddf45cd</t>
  </si>
  <si>
    <t>855668e0971d4dfd7bef1b6a4133b41b</t>
  </si>
  <si>
    <t>87142160b41353c4e5fca2360caf6f92</t>
  </si>
  <si>
    <t>RS</t>
  </si>
  <si>
    <t>0241d4d5d36f10f80c644447315af0bd</t>
  </si>
  <si>
    <t>e9bc59e7b60fc3063eb2290deda4cced</t>
  </si>
  <si>
    <t>59417c56835dd8e2e72f91f809cd4092</t>
  </si>
  <si>
    <t>2528513dd95219a6013d4d05176e391a</t>
  </si>
  <si>
    <t>88460e8ebdecbfecb5f9601833981930</t>
  </si>
  <si>
    <t>76d5af76d0271110f9af36c92573f765</t>
  </si>
  <si>
    <t>1554a68530182680ad5c8b042c3ab563</t>
  </si>
  <si>
    <t>9c0e69c7bf2619675bbadf47b43f655a</t>
  </si>
  <si>
    <t>70a12e78e608ac31179aea7f8422044b</t>
  </si>
  <si>
    <t>5c243662ce92d84573bfaff24c3e3700</t>
  </si>
  <si>
    <t>70eea00b476a314817cefde4aad4f89a</t>
  </si>
  <si>
    <t>7681ef142fd2c19048da7430856b5588</t>
  </si>
  <si>
    <t>001cca7ae9ae17fb1caed9dfb1094831</t>
  </si>
  <si>
    <t>ES</t>
  </si>
  <si>
    <t>e59aa562b9f8076dd550fcddf0e73491</t>
  </si>
  <si>
    <t>1900267e848ceeba8fa32d80c1a5f5a8</t>
  </si>
  <si>
    <t>d1c281d3ae149232351cd8c8cc885f0d</t>
  </si>
  <si>
    <t>0b90b6df587eb83608a64ea8b390cf07</t>
  </si>
  <si>
    <t>59b22a78efb79a4797979612b885db36</t>
  </si>
  <si>
    <t>d23019c84ffae2d5ef2270367b8605fc</t>
  </si>
  <si>
    <t>9f505651f4a6abe901a56cdc21508025</t>
  </si>
  <si>
    <t>a3a38f4affed601eb87a97788c949667</t>
  </si>
  <si>
    <t>8b321bb669392f5163d04c59e235e066</t>
  </si>
  <si>
    <t>900ba814c251a692506d7834c1218441</t>
  </si>
  <si>
    <t>16090f2ca825584b5a147ab24aa30c86</t>
  </si>
  <si>
    <t>d2374cbcbb3ca4ab1086534108cc3ab7</t>
  </si>
  <si>
    <t>12b9676b00f60f3b700e83af21824c0e</t>
  </si>
  <si>
    <t>c003204e1ab016dfa150abc119207b24</t>
  </si>
  <si>
    <t>b32be1695eb7ec5f10f72d9610a12527</t>
  </si>
  <si>
    <t>7e1fb0a3ebfb01ffb3a7dae98bf3238d</t>
  </si>
  <si>
    <t>de23c3b98a88888289c6f5cc1209054a</t>
  </si>
  <si>
    <t>897060da8b9a21f655304d50fd935913</t>
  </si>
  <si>
    <t>dc4a0fc896dc34b0d5bfec8438291c80</t>
  </si>
  <si>
    <t>a416b6a846a11724393025641d4edd5e</t>
  </si>
  <si>
    <t>1c68394e931a64f90ea236c5ea590300</t>
  </si>
  <si>
    <t>f62d7bb4a613ec758a03342d46b580b2</t>
  </si>
  <si>
    <t>1a3df491d1c4f1589fc2b934ada68bf2</t>
  </si>
  <si>
    <t>b94cc9f10ddc85e4ba73a6f7974e7101</t>
  </si>
  <si>
    <t>710e3548e02bc1d2831dfc4f1b5b14d4</t>
  </si>
  <si>
    <t>7ad32824caee82087b3e2e5f33b1bf32</t>
  </si>
  <si>
    <t>612170e34b97004b3ba37eae81836b4c</t>
  </si>
  <si>
    <t>f45122a9ab94eb4f3f8953578bc0c560</t>
  </si>
  <si>
    <t>8f2ce03f928b567e3d56181ae20ae952</t>
  </si>
  <si>
    <t>729f06993dac8e860d4f02d7088ca48a</t>
  </si>
  <si>
    <t>2b3e4a2a3ea8e01938cabda2a3e5cc79</t>
  </si>
  <si>
    <t>b37c4c02bda3161a7546a4e6d222d5b2</t>
  </si>
  <si>
    <t>744dac408745240a2c2528fb1b6028f3</t>
  </si>
  <si>
    <t>40db9e9aa57f7bb151bcda6b0f9bdbb7</t>
  </si>
  <si>
    <t>06e5eefc71ec47ae763c5c6f8db7064f</t>
  </si>
  <si>
    <t>0dd184061fb0eaa7ca37932c68ab91c5</t>
  </si>
  <si>
    <t>ff69aa92bb6b1bf9b8b7a51c2ed9cf8b</t>
  </si>
  <si>
    <t>85d9eb9ddc5d00ca9336a2219c97bb13</t>
  </si>
  <si>
    <t>8444e55c1f13cd5c179851e5ca5ebd00</t>
  </si>
  <si>
    <t>00ee68308b45bc5e2660cd833c3f81cc</t>
  </si>
  <si>
    <t>7b0df942f46435babab05d49b744b2c4</t>
  </si>
  <si>
    <t>59fb871bf6f4522a87ba567b42dafecf</t>
  </si>
  <si>
    <t>004c9cd9d87a3c30c522c48c4fc07416</t>
  </si>
  <si>
    <t>05ff92fedb5be47920fea08e501238b9</t>
  </si>
  <si>
    <t>dc317f341ab0e22f39acbd9dbf9b4a1f</t>
  </si>
  <si>
    <t>f457c46070d02cadd8a68551231220dd</t>
  </si>
  <si>
    <t>48162d548f5b1b11b9d29d1e01f75a61</t>
  </si>
  <si>
    <t>b1b3948701c5c72445495bd161b83a4c</t>
  </si>
  <si>
    <t>bfd27a966d91cfaafdb25d076585f0da</t>
  </si>
  <si>
    <t>44073f8b7e41514de3b7815dd0237f4f</t>
  </si>
  <si>
    <t>DF</t>
  </si>
  <si>
    <t>128639473a139ac0f3e5f5ade55873a5</t>
  </si>
  <si>
    <t>0c8380b62e38e8a1e6adbeba7eb9688c</t>
  </si>
  <si>
    <t>76d64c4aca3a7baf218bf93ef7fa768d</t>
  </si>
  <si>
    <t>54a1852d1b8f10312c55e906355666ee</t>
  </si>
  <si>
    <t>fa40cc5b934574b62717c68f3d678b6d</t>
  </si>
  <si>
    <t>7aa4334be125fcdd2ba64b3180029f14</t>
  </si>
  <si>
    <t>cd68562d3f44870c08922d380acae552</t>
  </si>
  <si>
    <t>96493fab2fbb13a14d0c0e8772eef5c3</t>
  </si>
  <si>
    <t>41b39e28db005d9731d9d485a83b4c38</t>
  </si>
  <si>
    <t>527801b552d0077ffd170872eb49683b</t>
  </si>
  <si>
    <t>1e8b33f18b4f7598d87f5cbee2282cc2</t>
  </si>
  <si>
    <t>c33847515fa6305ce6feb1e818569f13</t>
  </si>
  <si>
    <t>86ccac0b835037332a596a33b6949ee1</t>
  </si>
  <si>
    <t>9de4643a8dbde634fe55621059d92273</t>
  </si>
  <si>
    <t>821fb029fc6e495ca4f08a35d51e53a5</t>
  </si>
  <si>
    <t>d650b663c3b5f6fb392b6326366efa9a</t>
  </si>
  <si>
    <t>4b9750c8ad28220fe6702d4ecb7c898f</t>
  </si>
  <si>
    <t>165fc07beebdcb6190fba8a06db2a449</t>
  </si>
  <si>
    <t>4c2b230173bb36f9b240f2b8ac11786e</t>
  </si>
  <si>
    <t>c72de06d72748d1a0dfb2125be43ba63</t>
  </si>
  <si>
    <t>79ebd9a61bac3eaf882805ed4ecfa12a</t>
  </si>
  <si>
    <t>94144541854e298c2d976cb893b81343</t>
  </si>
  <si>
    <t>a888faf2d1baececa6baf9c3d603ee1f</t>
  </si>
  <si>
    <t>213b25e6f54661939f11710a6fddb871</t>
  </si>
  <si>
    <t>ef0ace09169ac090589d85746e3e036f</t>
  </si>
  <si>
    <t>2a84855fd20af891be03bc5924d2b453</t>
  </si>
  <si>
    <t>2138ccb85b11a4ec1e37afbd1c8eda1f</t>
  </si>
  <si>
    <t>0adac9fbd9a2b63cccaac4f8756c1ca8</t>
  </si>
  <si>
    <t>abe42c5d03695b4257b5c6cbf4e6784e</t>
  </si>
  <si>
    <t>229c3efbfb0ea2058de4ccdfbc3d784a</t>
  </si>
  <si>
    <t>8ae520247981aa06bc94abddf5f46d34</t>
  </si>
  <si>
    <t>01fdefa7697d26ad920e9e0346d4bd1b</t>
  </si>
  <si>
    <t>4a3ccda38b2129705f3fb522db62ca31</t>
  </si>
  <si>
    <t>66922902710d126a0e7d26b0e3805106</t>
  </si>
  <si>
    <t>d921b68bf747894be13a97ae52b0f386</t>
  </si>
  <si>
    <t>1b4c3a6f53068f0b6944d2d005c9fc89</t>
  </si>
  <si>
    <t>5cf13accae3222c70a9cac40818ae839</t>
  </si>
  <si>
    <t>e5a38146df062edaf55c38afa99e42dc</t>
  </si>
  <si>
    <t>c3acdfac4e3e97ff87529454fbc03642</t>
  </si>
  <si>
    <t>d94a40fd42351c259927028d163af842</t>
  </si>
  <si>
    <t>2e90cb1677d35cfe24eef47d441b7c87</t>
  </si>
  <si>
    <t>6d66611d7c44cc30ce351abc49a68421</t>
  </si>
  <si>
    <t>2a5b78b41cd05baeac8df54c6606b92c</t>
  </si>
  <si>
    <t>1f1bb1f0859883505541bdd6606193e5</t>
  </si>
  <si>
    <t>6061155addc1e54b4cfb51c1c2a32ad8</t>
  </si>
  <si>
    <t>669ae81880e08f269a64487cfb287169</t>
  </si>
  <si>
    <t>c847e075301870dd144a116762eaff9a</t>
  </si>
  <si>
    <t>a3e9a2c700480d9bb01fba070ba80a0e</t>
  </si>
  <si>
    <t>3b15288545f8928d3e65a8f949a28291</t>
  </si>
  <si>
    <t>cfb1a033743668a192316f3c6d1d2671</t>
  </si>
  <si>
    <t>a673821011d0cec28146ea42f5ab767f</t>
  </si>
  <si>
    <t>f9244d45189d3a3605499abddeade7d5</t>
  </si>
  <si>
    <t>6edacfd9f9074789dad6d62ba7950b9c</t>
  </si>
  <si>
    <t>6039e27294dc75811c0d8a39069f52c0</t>
  </si>
  <si>
    <t>8e6d7754bc7e0f22c96d255ebda59eba</t>
  </si>
  <si>
    <t>a5cba26a62b8b4d0145b68b841e62e7f</t>
  </si>
  <si>
    <t>1f9ab4708f3056ede07124aad39a2554</t>
  </si>
  <si>
    <t>701938c450705b8ae65fc923b70f35c7</t>
  </si>
  <si>
    <t>b8bc237ba3788b23da09c0f1f3a3288c</t>
  </si>
  <si>
    <t>080199a181c46c657dc5aa235411be3b</t>
  </si>
  <si>
    <t>289cdb325fb7e7f891c38608bf9e0962</t>
  </si>
  <si>
    <t>ce248b21cb2adc36282ede306b7660e5</t>
  </si>
  <si>
    <t>ac3508719a1d8f5b7614b798f70af136</t>
  </si>
  <si>
    <t>aba1721a889e04decc910aa13b768ef4</t>
  </si>
  <si>
    <t>c31eff8334d6b3047ed34bebd4d62c36</t>
  </si>
  <si>
    <t>530ec6109d11eaaf87999465c6afee01</t>
  </si>
  <si>
    <t>e2a1ac9bf33e5549a2a4f834e70df2f8</t>
  </si>
  <si>
    <t>c6bda72e4dbf5c5866b13cb1810c6d03</t>
  </si>
  <si>
    <t>440dd6ab244315c632130ecfb63827b1</t>
  </si>
  <si>
    <t>431af27f296bc6519d890aa5a05fdb11</t>
  </si>
  <si>
    <t>05f51e13da97139648b8125c31e5f51b</t>
  </si>
  <si>
    <t>a7f13822ceb966b076af67121f87b063</t>
  </si>
  <si>
    <t>00fc707aaaad2d31347cf883cd2dfe10</t>
  </si>
  <si>
    <t>d50d79cb34e38265a8649c383dcffd48</t>
  </si>
  <si>
    <t>ce7d1888639e6fb06b2749cbfdac1ff7</t>
  </si>
  <si>
    <t>0ea22c1cfbdc755f86b9b54b39c16043</t>
  </si>
  <si>
    <t>9e6229250fedbe05838fef417b74e7fb</t>
  </si>
  <si>
    <t>0b35c634521043bf4b47e21547b99ab5</t>
  </si>
  <si>
    <t>48436dade18ac8b2bce089ec2a041202</t>
  </si>
  <si>
    <t>ef506c96320abeedfb894c34db06f478</t>
  </si>
  <si>
    <t>f08a5b9dd6767129688d001acafc21e5</t>
  </si>
  <si>
    <t>2e1c9f22be269ef4643f826c9e650a52</t>
  </si>
  <si>
    <t>e26901d5ab434ce92fd9b5c256820a4e</t>
  </si>
  <si>
    <t>610f72e407cdd7caaa2f8167b0163fd8</t>
  </si>
  <si>
    <t>34d1ca11b242c0fee2c834ae8d788566</t>
  </si>
  <si>
    <t>d05ae8f7a5bd1d2a690a44cd079e4e27</t>
  </si>
  <si>
    <t>d6b1ce66b035a475f00c017792ff9769</t>
  </si>
  <si>
    <t>a6bd7d1ccdac48c6b33b28596b7eb122</t>
  </si>
  <si>
    <t>PB</t>
  </si>
  <si>
    <t>8d956fec2e4337affcb520f56fd8cbfd</t>
  </si>
  <si>
    <t>813348c996469b40f2e028d5429d3495</t>
  </si>
  <si>
    <t>2b1a40c1daabc6ca280c4b815c101841</t>
  </si>
  <si>
    <t>240b9776d844d37535668549a396af32</t>
  </si>
  <si>
    <t>ff063b022a9a0aab91bad2c9088760b7</t>
  </si>
  <si>
    <t>95e03ca3d4146e4011985981aeb959b9</t>
  </si>
  <si>
    <t>1ca7077d890b907f89be8c954a02686a</t>
  </si>
  <si>
    <t>75d34ebb1bd0bd7dde40dd507b8169c3</t>
  </si>
  <si>
    <t>cab85505710c7cb9b720bceb52b01cee</t>
  </si>
  <si>
    <t>0be8ff43f22e456b4e0371b2245e4d01</t>
  </si>
  <si>
    <t>b372ee768ed69e46ca8cdbd267aa7a38</t>
  </si>
  <si>
    <t>80e6699fe29150b372a0c8a1ebf7dcc8</t>
  </si>
  <si>
    <t>e24fc9fcd865784fb25705606fe3dfe7</t>
  </si>
  <si>
    <t>8cc6a0e5738e61a87b03c78b2ba9db4b</t>
  </si>
  <si>
    <t>99eaacc9e6046db1c82b163c5f84869f</t>
  </si>
  <si>
    <t>6cd68b3ed6d59aaa9fece558ad360c0a</t>
  </si>
  <si>
    <t>5a8e7d5003a1f221f9e1d6e411de7c23</t>
  </si>
  <si>
    <t>adbc26658d6c7b4b6219f9d934598091</t>
  </si>
  <si>
    <t>c8b0e2b0a7095e5d8219575d5e7e1181</t>
  </si>
  <si>
    <t>70c27847eca8195c983ed7e798c56743</t>
  </si>
  <si>
    <t>056b4ada5bbc2c50cc7842547dda6b51</t>
  </si>
  <si>
    <t>e8b3a3a38279a82f0e5d006d5e5b7d2c</t>
  </si>
  <si>
    <t>ed4acab38528488b65a9a9c603ff024a</t>
  </si>
  <si>
    <t>87b740daf17b5d1be335a64164ec6842</t>
  </si>
  <si>
    <t>09f952a5f58d2285b0372551ae8f9b01</t>
  </si>
  <si>
    <t>1d8dbc4f32378d715c717c1c1fc57bae</t>
  </si>
  <si>
    <t>ad97a199236354e53fcd91a5a913e9a2</t>
  </si>
  <si>
    <t>039e6ad9dae79614493083e241147386</t>
  </si>
  <si>
    <t>25e6ffe976bd75618accfe16cefcbd0d</t>
  </si>
  <si>
    <t>7202e2ba20579a9bd1acb29e61fe71f6</t>
  </si>
  <si>
    <t>c66dccfb3f109511246da627dd5a2498</t>
  </si>
  <si>
    <t>8b8cfc8305aa441e4239358c9f6f2485</t>
  </si>
  <si>
    <t>562fc2f2c2863ab7e79a9e4388a58a14</t>
  </si>
  <si>
    <t>1da3aeb70d7989d1e6d9b0e887f97c23</t>
  </si>
  <si>
    <t>b4f8921fcc4ff77b66bea6dda43dcd51</t>
  </si>
  <si>
    <t>d1b65fc7debc3361ea86b5f14c68d2e2</t>
  </si>
  <si>
    <t>5058e8c1e82653974541e83690655b4a</t>
  </si>
  <si>
    <t>6e386f64c84e482f0b9abf960797ee1b</t>
  </si>
  <si>
    <t>ccb83a794700270fde70898fe9ff368b</t>
  </si>
  <si>
    <t>c9c7905cffc4ef9ff9f113554423e671</t>
  </si>
  <si>
    <t>fbc14c0cf93505ef89f64665ffa4a7b5</t>
  </si>
  <si>
    <t>b499c00f28f4b7069ff6550af8c1348a</t>
  </si>
  <si>
    <t>f262cbc1c910c83959f849465454ddd3</t>
  </si>
  <si>
    <t>72c5da29406b4234927b81855e7b64f6</t>
  </si>
  <si>
    <t>66e0557ecc2b4dbea057e93f215f68d8</t>
  </si>
  <si>
    <t>dd2bdf855a9172734fbc3744021ae9b9</t>
  </si>
  <si>
    <t>ca3bd7cd9f149df75950150d010fe4a2</t>
  </si>
  <si>
    <t>1c129092bf23f28a5930387c980c0dfc</t>
  </si>
  <si>
    <t>4830e40640734fc1c52cd21127c341d4</t>
  </si>
  <si>
    <t>7901646fdd36a55f564ffaf2dbccaaf7</t>
  </si>
  <si>
    <t>7ea5bfa6c340f58f8e71fc1f0412b0d6</t>
  </si>
  <si>
    <t>54965bbe3e4f07ae045b90b0b8541f52</t>
  </si>
  <si>
    <t>7040e82f899a04d1b434b795a43b4617</t>
  </si>
  <si>
    <t>c864036feaab8c1659f65ea4faebe1da</t>
  </si>
  <si>
    <t>82e0a475a88cc9595229d8029273f045</t>
  </si>
  <si>
    <t>5343d0649eca2a983820bfe93fc4d17e</t>
  </si>
  <si>
    <t>33a6f4b1e7cdc205511e76ba1b6e0186</t>
  </si>
  <si>
    <t>c4d51195486dc781531876a7d00453d8</t>
  </si>
  <si>
    <t>bba3293d6f5d5af2f415e004e8b93ae3</t>
  </si>
  <si>
    <t>dd7ddc04e1b6c2c614352b383efe2d36</t>
  </si>
  <si>
    <t>17ca9b9e9b9ef8fdb529001b49ebb50f</t>
  </si>
  <si>
    <t>c60b801f2d52c7f7f91de00870882a75</t>
  </si>
  <si>
    <t>23d7c96d4a1160db1c726b248601b25a</t>
  </si>
  <si>
    <t>f3b80352b986ab4d1057a4b724be19d0</t>
  </si>
  <si>
    <t>4e7c18b98d84e05cbae3ff0ff03846c2</t>
  </si>
  <si>
    <t>32b8764b4ef628b53608fc34011fcc13</t>
  </si>
  <si>
    <t>9d5a9018aee56acb367ba9c3f05d1d6a</t>
  </si>
  <si>
    <t>GO</t>
  </si>
  <si>
    <t>f80edd2c5aaa505cc4b0a3b219abf4b8</t>
  </si>
  <si>
    <t>6973a06f484aacf400ece213dbf3d946</t>
  </si>
  <si>
    <t>aafe36600ce604f205b86b5084d3d767</t>
  </si>
  <si>
    <t>aaed1309374718fdd995ee4c58c9dfcd</t>
  </si>
  <si>
    <t>ce27a3cc3c8cc1ea79d11e561e9bebb6</t>
  </si>
  <si>
    <t>5d378b73ab7dd6f0418d743e5dcb0bd1</t>
  </si>
  <si>
    <t>31344c16881c08a8a72c6d2eb29918c1</t>
  </si>
  <si>
    <t>8b28d096634035667e8263d57ba3368c</t>
  </si>
  <si>
    <t>3db66a856d18a9cba7c9241fc5221c50</t>
  </si>
  <si>
    <t>01cf7e3d21494c41fb86034f2e714fa1</t>
  </si>
  <si>
    <t>0df3984f9dfb3d49ac6366acbd3bbb85</t>
  </si>
  <si>
    <t>9d4db00d65d7760644ac0c14edb5fd86</t>
  </si>
  <si>
    <t>9b013e03b2ab786505a1d3b5c0756754</t>
  </si>
  <si>
    <t>92eb0f42c21942b6552362b9b114707d</t>
  </si>
  <si>
    <t>5656537e588803a555b8eb41f07a944b</t>
  </si>
  <si>
    <t>ea566164622c6b439516ab18062c42cd</t>
  </si>
  <si>
    <t>fffd5413c0700ac820c7069d66d98c89</t>
  </si>
  <si>
    <t>6c7d50c24b3ccd2fd83b44d8bb34e073</t>
  </si>
  <si>
    <t>81a1104df0f08b59c68aa5b03cfe398e</t>
  </si>
  <si>
    <t>bd23da7354813347129d751591d1a6e2</t>
  </si>
  <si>
    <t>259f7b5e6e482c230e5bfaa670b6bb8f</t>
  </si>
  <si>
    <t>0db783cfcd3b73998abc6e10e59a102f</t>
  </si>
  <si>
    <t>1c5e4e49b9079480255b49d50aac1aa9</t>
  </si>
  <si>
    <t>cbd996ad3c1b7dc71fd0e5f5df9087e2</t>
  </si>
  <si>
    <t>c510bc1718f0f2961eaa42a23330681a</t>
  </si>
  <si>
    <t>e5a3438891c0bfdb9394643f95273d8e</t>
  </si>
  <si>
    <t>624f4ece8da4aafb77699233d480f8ef</t>
  </si>
  <si>
    <t>5882820ef11c4c068eea0677a7a879b4</t>
  </si>
  <si>
    <t>b92e3c8f9738272ff7c59e111e108d7c</t>
  </si>
  <si>
    <t>066a6914e1ebf3ea95a216c73a986b91</t>
  </si>
  <si>
    <t>7b1222c3624aa89b9558b50a2594188c</t>
  </si>
  <si>
    <t>7b07b3c7487f0ea825fc6df75abd658b</t>
  </si>
  <si>
    <t>7008613ea464bad5cb9b83456e1e6a8f</t>
  </si>
  <si>
    <t>f27e33c6d29b5138fa9967bcd445b6d5</t>
  </si>
  <si>
    <t>06532f10282704ef4c69168b914b77be</t>
  </si>
  <si>
    <t>a49928bcdf77c55c6d6e05e09a9b4ca5</t>
  </si>
  <si>
    <t>b2ac621f0d0322434d04a12b078b9369</t>
  </si>
  <si>
    <t>cb8bcce248bb1fb274ba762d8b971456</t>
  </si>
  <si>
    <t>0bae85eb84b9fb3bd773911e89288d54</t>
  </si>
  <si>
    <t>e96498ed8daaa3e9c23f7a62da76591c</t>
  </si>
  <si>
    <t>048c2757535328e0d7dac690ad3c0aae</t>
  </si>
  <si>
    <t>b1a81260566c1bac3114a6d124413f27</t>
  </si>
  <si>
    <t>d98eec89afa3380e14463da2aabaea72</t>
  </si>
  <si>
    <t>b1fc4f64df5a0e8b6913ab38803c57a9</t>
  </si>
  <si>
    <t>3c487ae8f8d7542beff5788e2e0aea83</t>
  </si>
  <si>
    <t>5b8154610ebb21fb90eb587365e673df</t>
  </si>
  <si>
    <t>05feb94f19d094d4b0f9281f0b1d4c99</t>
  </si>
  <si>
    <t>cf8ab1616079e2793aa29d524df01bb1</t>
  </si>
  <si>
    <t>e7df4cd29ab5abab70fb0783ddb53987</t>
  </si>
  <si>
    <t>972d0f9cf61b499a4812cf0bfa3ad3c4</t>
  </si>
  <si>
    <t>febab0275244b9a49a623f0bd613ca2f</t>
  </si>
  <si>
    <t>5f2684dab12e59f83bef73ae57724e45</t>
  </si>
  <si>
    <t>8e8a7ce9f2f970dc00e2acf6f6e199f6</t>
  </si>
  <si>
    <t>640e21a7d01df7614a3b4923e990d40c</t>
  </si>
  <si>
    <t>6d803cb79cc31c41c4c789a75933b3c7</t>
  </si>
  <si>
    <t>d71d863e5ef30d94e440c11be17dcd8f</t>
  </si>
  <si>
    <t>270297ead4c65a6cd2593960d2af6b21</t>
  </si>
  <si>
    <t>2dee2ce60de9709b1a24083217181a1f</t>
  </si>
  <si>
    <t>MT</t>
  </si>
  <si>
    <t>a00824eb9093d40e589b940ec45c4eb0</t>
  </si>
  <si>
    <t>4371b634e0efc0e22b09b52907d9d469</t>
  </si>
  <si>
    <t>d03698c2efd04a549382afa6623e27fb</t>
  </si>
  <si>
    <t>6c12e40690c335dbc2f68a4134d30dc1</t>
  </si>
  <si>
    <t>06df0c10d34e459d9672bc77388742eb</t>
  </si>
  <si>
    <t>7d456afc660226829370f3173d14520c</t>
  </si>
  <si>
    <t>8a432f4e5b471f8da497d7dc517666e2</t>
  </si>
  <si>
    <t>33a17d60c64393351ebf1ef860f4e0f2</t>
  </si>
  <si>
    <t>17306570e772e7718c92a562d33f5f1d</t>
  </si>
  <si>
    <t>9596c870880d900012f2e8e6e30d06d7</t>
  </si>
  <si>
    <t>af4a0e4cfe1d9c26b6712b1be25a72e5</t>
  </si>
  <si>
    <t>37515688008a7a40ac93e3b2e4ab203f</t>
  </si>
  <si>
    <t>ebd2d60905fb58271facef5596b620d3</t>
  </si>
  <si>
    <t>18a349e75d307f4b4cc646a691ed4216</t>
  </si>
  <si>
    <t>7a241947449cc45dbfda4f9d0798d9d0</t>
  </si>
  <si>
    <t>fdb9095204a334cd8872252ffec6f2db</t>
  </si>
  <si>
    <t>609e1a9a6c2539919b8205cf7c4e6ff0</t>
  </si>
  <si>
    <t>3078096983cf766a32a06257648502d1</t>
  </si>
  <si>
    <t>db2956745b3a8e9f3785c99f34b5d25e</t>
  </si>
  <si>
    <t>4bfc7a4a1cf8d4d2121c27422d9e50b5</t>
  </si>
  <si>
    <t>725c32fa80c2faacc4fc88450d27314e</t>
  </si>
  <si>
    <t>750303a20e9c56b2a6bc45cdce0b897d</t>
  </si>
  <si>
    <t>403aa86912527d730337ffcb0fb096ab</t>
  </si>
  <si>
    <t>b4ffb71f0cb1b1c3d63fad021ecf93e1</t>
  </si>
  <si>
    <t>aac29b1b99776be73c3049939652091d</t>
  </si>
  <si>
    <t>bd0389da23d89b726abf911cccc54596</t>
  </si>
  <si>
    <t>6c177e38df6d3f34182b1f1d427231bf</t>
  </si>
  <si>
    <t>7722b1df1b0e383e000397b2c11e3e19</t>
  </si>
  <si>
    <t>08633c14ef2db992c11f840f04fad4cd</t>
  </si>
  <si>
    <t>52d76513f0c4d97f3b99570e2c94ee31</t>
  </si>
  <si>
    <t>903037660cf848a717166eb7a06d616e</t>
  </si>
  <si>
    <t>054694fa03fe82cec4b7551487331d74</t>
  </si>
  <si>
    <t>36a968b544695394e4e9d7572688598f</t>
  </si>
  <si>
    <t>fcb5ace8bcc92f75707dc0f01a27d269</t>
  </si>
  <si>
    <t>6fd52c528dcb38be2eea044946b811f8</t>
  </si>
  <si>
    <t>257e61d3251fb5efb9daadddbc2cf7ca</t>
  </si>
  <si>
    <t>5b925e1d006e9476d738aa200751b73b</t>
  </si>
  <si>
    <t>93dc87703c046b603023e75222018b45</t>
  </si>
  <si>
    <t>4e17c65a516f69d023a2ae78b84f28d6</t>
  </si>
  <si>
    <t>dbb9b48c841a0e39e21f98e1a6b2ec3e</t>
  </si>
  <si>
    <t>0432ead42b6c8a0bdf68154add917fdf</t>
  </si>
  <si>
    <t>784ba75dd9d20200c4caed3d7a77141a</t>
  </si>
  <si>
    <t>5d0363b33554b373851fc1622e4d5f3c</t>
  </si>
  <si>
    <t>e333046ce6517bd8bb510291d44f0130</t>
  </si>
  <si>
    <t>062ce95fa2ad4dfaedfc79260130565f</t>
  </si>
  <si>
    <t>8648b1e89e9b349e32d3741b30ec737e</t>
  </si>
  <si>
    <t>73a63f72308aa20a46f4b1632018f196</t>
  </si>
  <si>
    <t>397c4d0c005b6f41f90098ac724e28cb</t>
  </si>
  <si>
    <t>bbf9ad41dca6603e614efcdad7aab8c4</t>
  </si>
  <si>
    <t>CE</t>
  </si>
  <si>
    <t>3bb548e3cb7f70f28e3f11ee9dce0e59</t>
  </si>
  <si>
    <t>b18dc380845b24038cfc48006478f099</t>
  </si>
  <si>
    <t>ececbfcff9804a2d6b40f589df8eef2b</t>
  </si>
  <si>
    <t>a420f60ff1aa9acc80d0e42959f2b313</t>
  </si>
  <si>
    <t>cc63f0dd2acba93ffed4fe9f8e0321fa</t>
  </si>
  <si>
    <t>67883baaae6134ee81b271a542613728</t>
  </si>
  <si>
    <t>52f976b17ea7f2f087f56dcc419328f6</t>
  </si>
  <si>
    <t>86bb7c4b535e49a541baf3266b1c95b1</t>
  </si>
  <si>
    <t>8fb791022c1fc8909664f48ab7dc636d</t>
  </si>
  <si>
    <t>2c9e548be18521d1c43cde1c582c6de8</t>
  </si>
  <si>
    <t>a2e874074c877c5a05abae80ad6e488f</t>
  </si>
  <si>
    <t>1127b7f2594683f2510f1c2c834a486b</t>
  </si>
  <si>
    <t>058fd0aa2bfdb2274e05e1ae971dabb6</t>
  </si>
  <si>
    <t>6bd69102ab48df500790a8cecfc285c2</t>
  </si>
  <si>
    <t>381c83fdca332ea6afd896da20bf6e4a</t>
  </si>
  <si>
    <t>42bde9fef835393bb8a8849cb6b7f245</t>
  </si>
  <si>
    <t>8a32e327fe2c1b3511609d81aaf9f042</t>
  </si>
  <si>
    <t>282f23a9769b2690c5dda22e316f9941</t>
  </si>
  <si>
    <t>b410bdd36d5db7a65dcd42b7ead933b8</t>
  </si>
  <si>
    <t>2089a6d640999f9b9141ac719b2af596</t>
  </si>
  <si>
    <t>aced59e9b31ef866a94f9e7f29d8d418</t>
  </si>
  <si>
    <t>c26a2be5b53b7db6b276280da212a779</t>
  </si>
  <si>
    <t>ad781527c93d00d89a11eecd9dcad7c1</t>
  </si>
  <si>
    <t>dbdd0ec73a4817971d962698f2fea022</t>
  </si>
  <si>
    <t>34056b8b55c1775a22af2331670a799c</t>
  </si>
  <si>
    <t>e0a366315b1b726b6c7832d664c0f530</t>
  </si>
  <si>
    <t>cee48807215b30a12ca2ca10ffb5f250</t>
  </si>
  <si>
    <t>7bac63f6603d382cc8d0832eb6c100a8</t>
  </si>
  <si>
    <t>8476243f92442881ddd5b578975cf115</t>
  </si>
  <si>
    <t>8e6cc767478edae941d9bd9eb778d77a</t>
  </si>
  <si>
    <t>b347677812ea483b0f528eaf8cbc09b7</t>
  </si>
  <si>
    <t>4aba391bc3b88717ce08eb11e44937b2</t>
  </si>
  <si>
    <t>6a8b085f816a1f75f92dbac6eb545f8f</t>
  </si>
  <si>
    <t>1da366cade6d8276e7d8beea7af5d4bf</t>
  </si>
  <si>
    <t>d51e0a403fe2e689ece6c73359d96e12</t>
  </si>
  <si>
    <t>11305281b50fff20ae8bb473f8e11876</t>
  </si>
  <si>
    <t>6a51fc556dab5f766ced6fbc860bc613</t>
  </si>
  <si>
    <t>6fa9202c10491e472dffd59a3e82b2a3</t>
  </si>
  <si>
    <t>670c26e0f1bf8d0576271d5cfaec6d2b</t>
  </si>
  <si>
    <t>e2aee0892199b1d92530e371abd825bf</t>
  </si>
  <si>
    <t>d13e50eaa47b4cbe9eb81465865d8cfc</t>
  </si>
  <si>
    <t>516e7738bd8f735ac19a010ee5450d8d</t>
  </si>
  <si>
    <t>58f1a6197ed863543e0136bdedb3fce2</t>
  </si>
  <si>
    <t>dee656f0f566ed1aa85bd137c943f08f</t>
  </si>
  <si>
    <t>f1fd5ab1181f827ffad998c1a5de7d74</t>
  </si>
  <si>
    <t>fa1a9dec3a9940c072684a46728bf1fc</t>
  </si>
  <si>
    <t>6b243f80ed07b10f0e8aa0f21a205f3c</t>
  </si>
  <si>
    <t>f25e239052084705e17a982bc600ab2a</t>
  </si>
  <si>
    <t>f84a00e60c73a49e7e851c9bdca3a5bb</t>
  </si>
  <si>
    <t>080102cd0a76b09e0dcf55fcacc60e05</t>
  </si>
  <si>
    <t>d624126b9206f595fb3fbb6ba03b28a8</t>
  </si>
  <si>
    <t>8c16d1f32a54d92897cc437244442e1b</t>
  </si>
  <si>
    <t>688756f717c462a206ad854c5027a64a</t>
  </si>
  <si>
    <t>512d298ac2a96d1931b6bd30aa21f61d</t>
  </si>
  <si>
    <t>dd55f1bb788714a40e7954c3be6df745</t>
  </si>
  <si>
    <t>b14db04aa7881970e83ffa9426897925</t>
  </si>
  <si>
    <t>376a891762bbdecbc02b4b6adec3fdda</t>
  </si>
  <si>
    <t>014c0679dd340a0e338872e7ec85666a</t>
  </si>
  <si>
    <t>d9bd94811c3338dceb4181f3dbc0c73e</t>
  </si>
  <si>
    <t>ff1fb4c404b2efe68b03350a8dc24122</t>
  </si>
  <si>
    <t>54219883e72aad869adfb2a54b7bfa0f</t>
  </si>
  <si>
    <t>31ae0774c17fabd06ff707cc5bde005f</t>
  </si>
  <si>
    <t>57e632711dec9ec14ca7546769483e7e</t>
  </si>
  <si>
    <t>30829ded4523ab9224b93bc49a62c95f</t>
  </si>
  <si>
    <t>751bdc4d83a466c7206cd42e8f426b03</t>
  </si>
  <si>
    <t>83e197e95a1bbabc8c75e883ed016c47</t>
  </si>
  <si>
    <t>63b464dbf392c7b80d12d932fa7cafed</t>
  </si>
  <si>
    <t>3340ef1913fb70d28420f6ceb685c339</t>
  </si>
  <si>
    <t>ade45994b717ccee333492330fbf037b</t>
  </si>
  <si>
    <t>679769a98cfcc6da877c8486ff1c13f3</t>
  </si>
  <si>
    <t>7dc8c42cc750eeafea6c85712ffee9bf</t>
  </si>
  <si>
    <t>05d2173d43ea568aa0540eba70d2ca76</t>
  </si>
  <si>
    <t>5b67882648febfb6e1225e6ad7164f6b</t>
  </si>
  <si>
    <t>0873d9f8f36123f8d910f4760e788cfb</t>
  </si>
  <si>
    <t>9616352088dcf83a7c06637f4ebf1c80</t>
  </si>
  <si>
    <t>2a261b5b644fa05f4f2700eb93544f2c</t>
  </si>
  <si>
    <t>961dff0a659b4561334372337dd897d9</t>
  </si>
  <si>
    <t>f46490624488d3ff7ce78613913a7711</t>
  </si>
  <si>
    <t>0691148aee60ca47977c187804f935ae</t>
  </si>
  <si>
    <t>b8630e1121437d41cb08e3c749c2c2e2</t>
  </si>
  <si>
    <t>b3b17aab11f273023a5f22ca52e1eb70</t>
  </si>
  <si>
    <t>40d54b51e962dbe09cabbcfd33298dee</t>
  </si>
  <si>
    <t>54065e9aef7e9e9c2dc23b7594db021a</t>
  </si>
  <si>
    <t>ba143b05f0110f0dc71ad71b4466ce92</t>
  </si>
  <si>
    <t>4c03b9dd4c11ee2cb35c96c49efc9420</t>
  </si>
  <si>
    <t>87e24fc7052259b1f7f607d61c10d8be</t>
  </si>
  <si>
    <t>bd4889b5e9133b35b66e42a8665cea5c</t>
  </si>
  <si>
    <t>e5e33c0d8e7e002f398f5dc4cbbb338f</t>
  </si>
  <si>
    <t>5670f4db5b62c43d542e1b2d56b0cf7c</t>
  </si>
  <si>
    <t>02f623a8eb246f3c5f7c2f96462654e6</t>
  </si>
  <si>
    <t>455c5640e8c5bd1b2ee85c0158f85727</t>
  </si>
  <si>
    <t>ea67327e24487bdfac5fbfa37ea124df</t>
  </si>
  <si>
    <t>33dd941c27854f7625b968cc6195a552</t>
  </si>
  <si>
    <t>989becdce12ebc39863c2bceab6f3ca1</t>
  </si>
  <si>
    <t>4b5f66b7adcf57f1ecc0d3c07dd6b177</t>
  </si>
  <si>
    <t>537eb890efff034a88679788b647c564</t>
  </si>
  <si>
    <t>3be634553519fb6536a03e1358e9fdc7</t>
  </si>
  <si>
    <t>33c51922b6e3c16b24a8f28e5833c99d</t>
  </si>
  <si>
    <t>e3b4998c7a498169dc7bce44e6bb6277</t>
  </si>
  <si>
    <t>80ceebb4ee9b31afb6c6a916a574a1e2</t>
  </si>
  <si>
    <t>NULL</t>
  </si>
  <si>
    <t>e9d99831abad74458942f21e16f33f92</t>
  </si>
  <si>
    <t>e8b4225284fbb02d16f200513f1f395d</t>
  </si>
  <si>
    <t>6f892e20a171e98efe17fdb971ff319b</t>
  </si>
  <si>
    <t>50c9975695009e5e6473912e83a6d1da</t>
  </si>
  <si>
    <t>b2479f944e1b90cf8a5de1bbfde284d6</t>
  </si>
  <si>
    <t>0bf0150d5b9d60d9cd2906003332f085</t>
  </si>
  <si>
    <t>91f848e9f4be368f4318775aac733370</t>
  </si>
  <si>
    <t>bacb1f0ed56ad24198f5810d2b3fe9a5</t>
  </si>
  <si>
    <t>dfc5fb7259bb2b599ca565e6e9448f0f</t>
  </si>
  <si>
    <t>abe021b01ba992245271b9aa422032df</t>
  </si>
  <si>
    <t>b6d44737c043328708f6749c2dbe50bd</t>
  </si>
  <si>
    <t>3ade81dab5a172b88e1871c28ae05260</t>
  </si>
  <si>
    <t>eb3071b9f0b0ddaa2df5ea130f09f26b</t>
  </si>
  <si>
    <t>3df020b72d3d44b3af9d110fa3940b65</t>
  </si>
  <si>
    <t>f12ff17ad8bbf01ec5c33b17e506649b</t>
  </si>
  <si>
    <t>ee27a8f15b1dded4d213a468ba4eb391</t>
  </si>
  <si>
    <t>bba74270a87732727b5a3b4fd9ac1c39</t>
  </si>
  <si>
    <t>f181738b150df1f37cb0bd72e705b193</t>
  </si>
  <si>
    <t>26d8a1c7c75d513045798992ead43aa2</t>
  </si>
  <si>
    <t>dfa0c4c6229ab200a4a1336b4d7128ff</t>
  </si>
  <si>
    <t>ff4ea69c2a729e83e63c7579e4ef8170</t>
  </si>
  <si>
    <t>9baf5cb77970f539089d09a38bcec5c3</t>
  </si>
  <si>
    <t>2528744c5ef5d955adc318720a94d2e7</t>
  </si>
  <si>
    <t>98dac6635aee4995d501a3972e047414</t>
  </si>
  <si>
    <t>dbd66278cbfe1aa1000f90a217ca4695</t>
  </si>
  <si>
    <t>0d85bbda9889ce1f7e63778d24f346eb</t>
  </si>
  <si>
    <t>d6b664fa0667064c6d76394e7848d790</t>
  </si>
  <si>
    <t>02d35243ea2e497335cd0f076b45675d</t>
  </si>
  <si>
    <t>RN</t>
  </si>
  <si>
    <t>52ac6f920b7280e4c6d30dd94de6259b</t>
  </si>
  <si>
    <t>709e16e2b25c7474d980076c6bfc4806</t>
  </si>
  <si>
    <t>e62b2d6ac10570a035a30bafcf01d263</t>
  </si>
  <si>
    <t>1336efc61c316ddf92c899eb817f7cae</t>
  </si>
  <si>
    <t>2fdde51ad3e12f297da656d4fbd5d0b5</t>
  </si>
  <si>
    <t>04aa0a1c5ce6b222003403a3e11c3cc0</t>
  </si>
  <si>
    <t>f4c4daa86e30c7e5a553a8d518ac03a5</t>
  </si>
  <si>
    <t>67bf6941ba2f1fa1d02c375766bc3e53</t>
  </si>
  <si>
    <t>94e93ce877be27a515118dbfd2c2be41</t>
  </si>
  <si>
    <t>7d76b645482be4a332374e8223836592</t>
  </si>
  <si>
    <t>83deb69e889cf80f82be1dc6d5f2d486</t>
  </si>
  <si>
    <t>fc906263ca5083d09dce42fe02247800</t>
  </si>
  <si>
    <t>23613d49c3ac2bd302259e55c06c050c</t>
  </si>
  <si>
    <t>23c38debaffe4a25a30fdbd9b586a13f</t>
  </si>
  <si>
    <t>f84fa566034f5e8e880a07ec624c56af</t>
  </si>
  <si>
    <t>4917cee8d902e13428c3ec4b1ca6f315</t>
  </si>
  <si>
    <t>575df70bde3f9f2b30bf8d2e9910d725</t>
  </si>
  <si>
    <t>afe0067131b73e40875c9b6c10bd2e21</t>
  </si>
  <si>
    <t>9674754b5a0cb32b638cec001178f799</t>
  </si>
  <si>
    <t>d566c37fa119d5e66c4e9052e83ee4ea</t>
  </si>
  <si>
    <t>abcd2cb37d46c2c8fb1bf071c859fc5b</t>
  </si>
  <si>
    <t>b39d7fe263ef469605dbb32608aee0af</t>
  </si>
  <si>
    <t>f680f85bee2d253556ac91be391d2c82</t>
  </si>
  <si>
    <t>7e3f87d16fb353f408d467e74fbd8014</t>
  </si>
  <si>
    <t>cc3d14116804f7209f3884f6367f1152</t>
  </si>
  <si>
    <t>8bb48dc19fccaa8613b6229bf7f452a2</t>
  </si>
  <si>
    <t>e067ad2c1c0b48758eb1b5228bcf7a68</t>
  </si>
  <si>
    <t>817245bcc3badd82bbd222e0366951a6</t>
  </si>
  <si>
    <t>f67efa3f0b6761102a7f8c6b7b571f5d</t>
  </si>
  <si>
    <t>1bb2bdb95f4841f1bba2c0d2cd83d3c9</t>
  </si>
  <si>
    <t>45ba18c210d42734ec52c0c1c574e9ee</t>
  </si>
  <si>
    <t>06579cb253ecd5a3a12a9e6eb6bf8f47</t>
  </si>
  <si>
    <t>a63bfbaa882c8f4542891b4e2246cc7f</t>
  </si>
  <si>
    <t>acce39e832338debb07b02385cde5967</t>
  </si>
  <si>
    <t>835f0f7810c76831d6c7d24c7a646d4d</t>
  </si>
  <si>
    <t>0176f73cc1195f367f7b32db1e5b3aa8</t>
  </si>
  <si>
    <t>e06f09ec0a4aca210779cf1cfc63cf19</t>
  </si>
  <si>
    <t>5b179e9e8cc7ab6fd113a46ca584da81</t>
  </si>
  <si>
    <t>0cbcee27c791afa0cdcb08587a2013a8</t>
  </si>
  <si>
    <t>8b9d6eec4a7eb7d0f9d579ce0b38324d</t>
  </si>
  <si>
    <t>30a2f535bb48308f991d0b9ad4a8c4bb</t>
  </si>
  <si>
    <t>916c9de0b5ad957346eeeb12f332687e</t>
  </si>
  <si>
    <t>b561927807645834b59ef0d16ba55a24</t>
  </si>
  <si>
    <t>3c7c4a49ec3c6550809089c6a2ca9370</t>
  </si>
  <si>
    <t>3ab971ce71839580d2ae5b4e40fe8044</t>
  </si>
  <si>
    <t>cfa5ab0e4d3fc212fd0b3410e7081c62</t>
  </si>
  <si>
    <t>55d3daac7c404d59e51c2aa2f4dc5a23</t>
  </si>
  <si>
    <t>d63c73efd41eb002280e7ec831424edb</t>
  </si>
  <si>
    <t>c4af86330efa7a2620772227d2d670c9</t>
  </si>
  <si>
    <t>02ecc2a19303f05e59ce133fd923fff7</t>
  </si>
  <si>
    <t>bbad7e518d7af88a0897397ffdca1979</t>
  </si>
  <si>
    <t>f789d2c4f2c2eb38fc4373e7a4b35264</t>
  </si>
  <si>
    <t>099095b050cfe8eb1ddff5317587e96e</t>
  </si>
  <si>
    <t>1a932caad4f9d804097d7f8e615baed1</t>
  </si>
  <si>
    <t>2ff97219cb8622eaf3cd89b7d9c09824</t>
  </si>
  <si>
    <t>5bffbafbb22daf6d3bfc216a46db8708</t>
  </si>
  <si>
    <t>9add47bf45ce8e8c7db6b9cf670b1e09</t>
  </si>
  <si>
    <t>822bad9bc42b51213ba522fe87b7ab5d</t>
  </si>
  <si>
    <t>582d4f8675b945722eda7c0cb61ba4c7</t>
  </si>
  <si>
    <t>fcdd820084f17e9982427971e4e9d47f</t>
  </si>
  <si>
    <t>cac4c8e7b1ca6252d8f20b2fc1a2e4af</t>
  </si>
  <si>
    <t>3f0e48d209018b466fcd3bb4ccfeb520</t>
  </si>
  <si>
    <t>f7496d659ca9fdaf323c0aae84176632</t>
  </si>
  <si>
    <t>fad44952713764836814be105382aee5</t>
  </si>
  <si>
    <t>2a7dc43cecabf23403078e2188437d1d</t>
  </si>
  <si>
    <t>ad420dd0c4f92f8af951ac24b86d0cf5</t>
  </si>
  <si>
    <t>11bfa66332777660bd0640ee84d47006</t>
  </si>
  <si>
    <t>a3f0b55de503387383c7b1de3ad7f678</t>
  </si>
  <si>
    <t>cc5a78bbad32776dc4e3af205218368c</t>
  </si>
  <si>
    <t>ef990a83bbea832f36ebe81376335aa8</t>
  </si>
  <si>
    <t>e0878efa0e0b7e5313ac0b43bc04c081</t>
  </si>
  <si>
    <t>822166ed1e47908f7cfb49946d03c726</t>
  </si>
  <si>
    <t>a4b6b9b992b46e9ef863637af96e04bc</t>
  </si>
  <si>
    <t>4bf2f4ee540798a61f9636d12cd9cc80</t>
  </si>
  <si>
    <t>d379f449f2a3b271bc01c0782020f705</t>
  </si>
  <si>
    <t>d673a59aac7a70d8b01e6902bf090a11</t>
  </si>
  <si>
    <t>e9c6969d40e6a3d2d0f90013165c2b98</t>
  </si>
  <si>
    <t>4d0041cdbe51b4617d95c70b19decc74</t>
  </si>
  <si>
    <t>0ef83d7d83ed97cd2a0049ac8be5f88a</t>
  </si>
  <si>
    <t>c68fb906c8f4b4b946d8386bfa6e5467</t>
  </si>
  <si>
    <t>d20b021d3efdf267a402c402a48ea64b</t>
  </si>
  <si>
    <t>c35affa65afd250151285c5917fc1c8a</t>
  </si>
  <si>
    <t>8bd0f31cf0a614c658f6763bd02dea69</t>
  </si>
  <si>
    <t>a3dd39f583bc80bd8c5901c95878921e</t>
  </si>
  <si>
    <t>42b729f859728f5079499127a9c2ef37</t>
  </si>
  <si>
    <t>45213867cefbf2cd4c6177e10216a951</t>
  </si>
  <si>
    <t>45d33f715e24d15a6ccf5c17b3a23e3c</t>
  </si>
  <si>
    <t>db4350fd57ae30082dec7acbaacc17f9</t>
  </si>
  <si>
    <t>951e8cef368f09bb3f3d03c00ca4702c</t>
  </si>
  <si>
    <t>503c1de08ae81a2d86f17951b204db55</t>
  </si>
  <si>
    <t>6860153b69cc696d5dcfe1cdaaafcf62</t>
  </si>
  <si>
    <t>715bbd5ba4e6b74cb0d2f29eb45058b0</t>
  </si>
  <si>
    <t>beadbee30901a7f61d031b6b686095ad</t>
  </si>
  <si>
    <t>ce69a8021d18961dd2a40269b7c2c293</t>
  </si>
  <si>
    <t>b4a476fbd28de64b1e347abf9089366a</t>
  </si>
  <si>
    <t>c12b92bf1c350f3e6bf88d3596219c86</t>
  </si>
  <si>
    <t>834f8533b2ecb6598dd004ff3de7203a</t>
  </si>
  <si>
    <t>d66c305afaec317ebee552073a674429</t>
  </si>
  <si>
    <t>eed78ac17f7f795a19a709745f00cd4e</t>
  </si>
  <si>
    <t>99002261c568a84cce14d43fcffb43ea</t>
  </si>
  <si>
    <t>b19f3ca2ea475913750f25a5c37c8d8f</t>
  </si>
  <si>
    <t>9df5750209b83567ec144eb299d7d634</t>
  </si>
  <si>
    <t>4c498c7345e89aebad651544829beca0</t>
  </si>
  <si>
    <t>6fc26fe110feebd80a433e1f012a84f9</t>
  </si>
  <si>
    <t>1fe5540d7c1c37a595fefbacd5570d9e</t>
  </si>
  <si>
    <t>0509040ea3fe50071181bbc359eb7738</t>
  </si>
  <si>
    <t>8931a84a914b3fe9b1ddaa4d704947ca</t>
  </si>
  <si>
    <t>f0b47fbbc6dee9aafe415a6e33051b3f</t>
  </si>
  <si>
    <t>65febd49fd28ec955651299159b1f527</t>
  </si>
  <si>
    <t>b90e891671cffd9557f33a97dc523645</t>
  </si>
  <si>
    <t>5c030029b5916fed0986310385ec9009</t>
  </si>
  <si>
    <t>d12c926d74ceff0a90a21184466ce161</t>
  </si>
  <si>
    <t>8a130737016f838139d31878787a39c9</t>
  </si>
  <si>
    <t>bccf933e006e9b94a6184af782963e77</t>
  </si>
  <si>
    <t>31da954dc0855f2495c6310f70a2f931</t>
  </si>
  <si>
    <t>15aac934c58d886785ac1b17953ea898</t>
  </si>
  <si>
    <t>232a6014e7b10cba61c6c2b2ea6bb4b0</t>
  </si>
  <si>
    <t>37dd29b36c458d82f74a953c40c43645</t>
  </si>
  <si>
    <t>827f8f69dfa529c561901c4f2e0f332f</t>
  </si>
  <si>
    <t>8f580d36c1e9d6fbce95283403c7d447</t>
  </si>
  <si>
    <t>e81e1f9c3e762e620f3fb60a51499e16</t>
  </si>
  <si>
    <t>0307f7565ff85b299b6e5ef162b1b1a9</t>
  </si>
  <si>
    <t>891071be6ba827b591264c90c2ae8a63</t>
  </si>
  <si>
    <t>fde0cc9ea29c8ccfc0a2c22256a58c71</t>
  </si>
  <si>
    <t>3c03b12bab54d8b37d79d914bfdb1aa0</t>
  </si>
  <si>
    <t>382229d1e840115ffe3dbf5ff460e417</t>
  </si>
  <si>
    <t>c840d3fdbba0790404fdae73d253b253</t>
  </si>
  <si>
    <t>968268a686aa05d1f529fb07dff08130</t>
  </si>
  <si>
    <t>2addf05f476d0637864454e93ba673d5</t>
  </si>
  <si>
    <t>99a54764c341d5dc80b4a8fac4eba3fb</t>
  </si>
  <si>
    <t>f6122bc84774df1b372bdb3bb88ddb9f</t>
  </si>
  <si>
    <t>55a5b51f93f2b70ea513f5a047b0262a</t>
  </si>
  <si>
    <t>b76dba6c951ab00dc4edf0a1aa88037e</t>
  </si>
  <si>
    <t>43f8c9950d11ecd03a0304a49e010da6</t>
  </si>
  <si>
    <t>6b3bd31ad8fcda4b2635ec9f3ff2ecdf</t>
  </si>
  <si>
    <t>6ec1a01e866584bb679eb9b098345919</t>
  </si>
  <si>
    <t>9803a40e82e45418ab7fb84091af5231</t>
  </si>
  <si>
    <t>e49c26c3edfa46d227d5121a6b6e4d37</t>
  </si>
  <si>
    <t>520b493b57809f446cb0a233bb3e25c7</t>
  </si>
  <si>
    <t>cd6efc47efaabf134f8bdb654e10b4f1</t>
  </si>
  <si>
    <t>ec8879960bd2221d5c32f8e12f7da711</t>
  </si>
  <si>
    <t>f76a3b1349b6df1ee875d1f3fa4340f0</t>
  </si>
  <si>
    <t>180c3376aff0e43dd5788709df48a843</t>
  </si>
  <si>
    <t>81f89e42267213cb94da7ddc301651da</t>
  </si>
  <si>
    <t>1b938a7ec6ac5061a66a3766e0e75f90</t>
  </si>
  <si>
    <t>13fa2a6c6b9d0f43cb588d7c82117a12</t>
  </si>
  <si>
    <t>1eade46fba20122dc4aefb379f8c636b</t>
  </si>
  <si>
    <t>f97e2b0650c2068227e1d366140eb62f</t>
  </si>
  <si>
    <t>c500367424994318b9e779ff1ae9a330</t>
  </si>
  <si>
    <t>3f3486b61f45078d4f31ee5e43d8c5bb</t>
  </si>
  <si>
    <t>cb41bfbcbda0aea354a834ab222f9a59</t>
  </si>
  <si>
    <t>bf3c6d2a28b2b5501e6c15448982dcc9</t>
  </si>
  <si>
    <t>13d058e4eeac2ce8217660b2f8a05812</t>
  </si>
  <si>
    <t>8f119a0aee85c0c8fc534629734e94fd</t>
  </si>
  <si>
    <t>f3da5b2ff499efb8d4a6d371d175d7dd</t>
  </si>
  <si>
    <t>95f83f51203c626648c875dd41874c7f</t>
  </si>
  <si>
    <t>3f995f07c49d0d55a99d5c54957f7d81</t>
  </si>
  <si>
    <t>8cbac7e12637ed9cffa18c7875207478</t>
  </si>
  <si>
    <t>681fce914360217db47784ae28905a96</t>
  </si>
  <si>
    <t>8ed8ea9a57c862f2c18c2fe41f601d56</t>
  </si>
  <si>
    <t>6b333a05bf188ef3e1f1662a86bd9855</t>
  </si>
  <si>
    <t>e883aa812c37a7413226856f4579fe91</t>
  </si>
  <si>
    <t>238fac594e170b59c6d228f5a4f4f1d9</t>
  </si>
  <si>
    <t>3361277dc30b7cccdb0c286b24219756</t>
  </si>
  <si>
    <t>f021c962aaba8ef6eb527a9c2c8394d1</t>
  </si>
  <si>
    <t>1fdc574883ef3b33ad41562d93f3a74a</t>
  </si>
  <si>
    <t>6a0cbc8af2e8abd1bdfb777943d174c6</t>
  </si>
  <si>
    <t>7f152321c60a266edc53af1925ef96c1</t>
  </si>
  <si>
    <t>56642bcb79900e777d68e91915cb4267</t>
  </si>
  <si>
    <t>f00e21b1e91a79653163b7fd8f293ff1</t>
  </si>
  <si>
    <t>602044f2c16190c2c6e45eb35c2e21cb</t>
  </si>
  <si>
    <t>f4aba7c0bca51484c30ab7bdc34bcdd1</t>
  </si>
  <si>
    <t>6288c69c4ce638e59925e59193f98b16</t>
  </si>
  <si>
    <t>282c7480173bb9c01dd41cc739fec010</t>
  </si>
  <si>
    <t>02f5837340d7eb4f653d676c7256523a</t>
  </si>
  <si>
    <t>406822777a0b9eb5c50e442dd4cd3ec5</t>
  </si>
  <si>
    <t>14d7985702e72162bbf13b6beb74ab2b</t>
  </si>
  <si>
    <t>870d0118f7a9d85960f29ad89d5d989a</t>
  </si>
  <si>
    <t>6bb0724edf0b62fb91ac404873a97241</t>
  </si>
  <si>
    <t>d5ba419e26d246a0719437cf37d9b46d</t>
  </si>
  <si>
    <t>b17b679f4f5ce2e03ce6968c62648246</t>
  </si>
  <si>
    <t>79ed755314cfe6df0daef2c6cd3022cd</t>
  </si>
  <si>
    <t>edf96ef93ed595084bbcbd9224bd2894</t>
  </si>
  <si>
    <t>2745f798279e0ed033addcc1474776d7</t>
  </si>
  <si>
    <t>42fa4ee7240e9b8eb4576358ec142ba7</t>
  </si>
  <si>
    <t>3c4e0452bff7a2a788179488d3d77032</t>
  </si>
  <si>
    <t>9b1585752613ec342d03bbab9997ec48</t>
  </si>
  <si>
    <t>ed4311e67debd72b8610a5347a743087</t>
  </si>
  <si>
    <t>6481e96574816ead57975da2c0f6d80d</t>
  </si>
  <si>
    <t>1b8356dabde1d35e17cef975c3f82730</t>
  </si>
  <si>
    <t>38e679b9e0064cd94c6f035707344dae</t>
  </si>
  <si>
    <t>8b2492b7ff4468839593fafeed55bad9</t>
  </si>
  <si>
    <t>4c18691b6037662be2df78a765d98ab5</t>
  </si>
  <si>
    <t>2e13c71026e1a39ba5cc1b86dcb679aa</t>
  </si>
  <si>
    <t>2199e7fe213c16213bf5d6a7eadc9a5d</t>
  </si>
  <si>
    <t>23a0ffca143a15b9b5bbdb7d552f626a</t>
  </si>
  <si>
    <t>070d165398b553f3b4b851c216b8a358</t>
  </si>
  <si>
    <t>8090490573c6c0aa343a7231ebcb8c86</t>
  </si>
  <si>
    <t>3d8fa2f5b647373c8620330c4e077a9f</t>
  </si>
  <si>
    <t>a44fb5a447105f8469bdf16bf9159f25</t>
  </si>
  <si>
    <t>c9a06ece156bb057372c68718ec8909b</t>
  </si>
  <si>
    <t>c731d18cea9bf687ffee82a241c25b11</t>
  </si>
  <si>
    <t>96804ea39d96eb908e7c3afdb671bb9e</t>
  </si>
  <si>
    <t>5f5b43b2bffa8656e4bc6efeb13cc649</t>
  </si>
  <si>
    <t>271c58a1d139c45eaf3316107c6d3a3b</t>
  </si>
  <si>
    <t>66dc1b1632bd6a3e508510c5b3492107</t>
  </si>
  <si>
    <t>2d2c62bef4c8ba0dd74e0e228e808539</t>
  </si>
  <si>
    <t>e7d5b006eb624f13074497221eb37807</t>
  </si>
  <si>
    <t>f35b3c613c4f7b2275f4185d0a3c59ec</t>
  </si>
  <si>
    <t>2a167ca73899c85001a837d8fb4962f6</t>
  </si>
  <si>
    <t>08cdbae123ff67ca4e36d9d641ce0119</t>
  </si>
  <si>
    <t>4559697a8f7e637227c2eeaed843baff</t>
  </si>
  <si>
    <t>276677b5d08786d5dce7c2149dcce48b</t>
  </si>
  <si>
    <t>bede56095ba33c42038fb85f707b8a42</t>
  </si>
  <si>
    <t>5d3bb11474a06bdc23fb9e89f1164ee0</t>
  </si>
  <si>
    <t>e8f6dc8e6a1dcde89d20e3995c8d90b3</t>
  </si>
  <si>
    <t>71039d19d4303bf9054d69e9a9236699</t>
  </si>
  <si>
    <t>e70053bf73d1b5863932e53a9fa47496</t>
  </si>
  <si>
    <t>38874e327ce94d11390b96eb42d61928</t>
  </si>
  <si>
    <t>9646c3513289980f17226a2fc4720dbd</t>
  </si>
  <si>
    <t>33ac3e28642ab8bda860a2f693000e78</t>
  </si>
  <si>
    <t>594f9aaa48e5bf431f011ddc5669b0d5</t>
  </si>
  <si>
    <t>5d9dc90a686a8fddacffab6bab5653a3</t>
  </si>
  <si>
    <t>643214e62b870443ccbe55ab29a4dccf</t>
  </si>
  <si>
    <t>d57e18d5f73c7ccb7f7339b61166898d</t>
  </si>
  <si>
    <t>c0563dd588b775f2e37747ef6ad6c92c</t>
  </si>
  <si>
    <t>77e4abfd739aed9c46480f90f81c0eb4</t>
  </si>
  <si>
    <t>b1fecf4da1fa2689bccffa0121953643</t>
  </si>
  <si>
    <t>MS</t>
  </si>
  <si>
    <t>6b90f847357d8981edd79a1eb1bf0acb</t>
  </si>
  <si>
    <t>cfd7ddab722b902f7ac5b5f3ba6d723d</t>
  </si>
  <si>
    <t>f0837c8d71434931d9e38e7b79234797</t>
  </si>
  <si>
    <t>994f04b3718c2bab35c2adfa8afecd2a</t>
  </si>
  <si>
    <t>3bdff180c7e1f6551a643b99c265a120</t>
  </si>
  <si>
    <t>a2b5b6105ea5942300631d2e76f4ffe0</t>
  </si>
  <si>
    <t>3c010235b7345c92f125d14ee232a76b</t>
  </si>
  <si>
    <t>df560393f3a51e74553ab94004ba5c87</t>
  </si>
  <si>
    <t>7f2617c58d5d06806987308b45654351</t>
  </si>
  <si>
    <t>4da0e408c99d2fdc2126dc9fce518060</t>
  </si>
  <si>
    <t>1838dd9b8977065acf51d95e0053ea7a</t>
  </si>
  <si>
    <t>4d600e08ecbe08258c79e536c5a42fee</t>
  </si>
  <si>
    <t>eb4df17aed01d918c65f0f8d650900c0</t>
  </si>
  <si>
    <t>f4db9b37944bcb8873e6b456ee190bbf</t>
  </si>
  <si>
    <t>ec80e49e69745ab6c14f984bf2149423</t>
  </si>
  <si>
    <t>1d0997ff06b524ce9289ffd75114ecd3</t>
  </si>
  <si>
    <t>0c7533c71df861ec58ad7ff999ed0e8d</t>
  </si>
  <si>
    <t>960945e1a9535cbc0cd6ddd35fbe7ae8</t>
  </si>
  <si>
    <t>8ff38bc3969e67c36c48343a07090f66</t>
  </si>
  <si>
    <t>aae3bfea055532c57fb453ed3ec80b30</t>
  </si>
  <si>
    <t>f7ccf836d21b2fb1de37564105216cc1</t>
  </si>
  <si>
    <t>3364a91ec4d56c98e44174de954b94f6</t>
  </si>
  <si>
    <t>RO</t>
  </si>
  <si>
    <t>3b872fd4747f01cc56206f2934198618</t>
  </si>
  <si>
    <t>4677a5437afda5fa7140b927b07be1cc</t>
  </si>
  <si>
    <t>e48b04bf1aa1ef711caebeb7aede6180</t>
  </si>
  <si>
    <t>218f991754f360af9c2daa5e0b8e990c</t>
  </si>
  <si>
    <t>f326006815956455b2859abd58fe7e39</t>
  </si>
  <si>
    <t>5f1dc28029d2c244352a68107ec2b542</t>
  </si>
  <si>
    <t>c8b3445d737de6befde0c88ede534a5e</t>
  </si>
  <si>
    <t>244c2f1bff6afe1f2eaf9bfe9b2aed38</t>
  </si>
  <si>
    <t>a938325a4b357fd23a6a4d5bb126408e</t>
  </si>
  <si>
    <t>a17f621c590ea0fab3d5d883e1630ec6</t>
  </si>
  <si>
    <t>2d50d6282f8aa2257819a77bfaa0efe0</t>
  </si>
  <si>
    <t>f2336e113377dd21c744d9c4fc8293a9</t>
  </si>
  <si>
    <t>54c04bdb5ec46762f8f08c7e8f86ed4a</t>
  </si>
  <si>
    <t>5bc24d989e71e93c33e50a7782431b0e</t>
  </si>
  <si>
    <t>b1ac6ea7895bc3dd6f0f6f4abbdd2821</t>
  </si>
  <si>
    <t>a0415d9b25ede3c4b1e477e9916ffc03</t>
  </si>
  <si>
    <t>52562a9f449c3dc3d53f5f5b9ed74903</t>
  </si>
  <si>
    <t>bce6a5ecf98e99fd2a8868b15c51f04b</t>
  </si>
  <si>
    <t>ed46f1eb4a638113deb2a1137b5f22e9</t>
  </si>
  <si>
    <t>0ebd97a106433a45a4aebe57c1799778</t>
  </si>
  <si>
    <t>e89c4adbe7b1d0819dbb636e16461cf1</t>
  </si>
  <si>
    <t>b8555308bfdb4ca1ed54325a58da9a97</t>
  </si>
  <si>
    <t>c64a2aec32cc408a8a4c6d7c46017f91</t>
  </si>
  <si>
    <t>6750d71153f00fc58829af2a8ef1bcf1</t>
  </si>
  <si>
    <t>d93919c944be9cff128f6c9cb899eacb</t>
  </si>
  <si>
    <t>977f9f63dd360c2a32ece2f93ad6d306</t>
  </si>
  <si>
    <t>822b63912576852aea9a8436d72317b7</t>
  </si>
  <si>
    <t>432c37c9dfba871172ec162e20118b8c</t>
  </si>
  <si>
    <t>cb3dd9ce66268c7a3ca7241ac70ab58c</t>
  </si>
  <si>
    <t>21e83881401b92b49fb09a16d3852291</t>
  </si>
  <si>
    <t>afa6714acee029b2dfdf357e5579cc03</t>
  </si>
  <si>
    <t>585175ec331ea177fa47199e39a6170a</t>
  </si>
  <si>
    <t>5c6d4016c2a288f074fa0848a2b653d2</t>
  </si>
  <si>
    <t>cce6ab8d1682639fe45ab70234f1665f</t>
  </si>
  <si>
    <t>a6fe7de3d16f6149ffe280349a8535a0</t>
  </si>
  <si>
    <t>ae7ab174effdead6c241e547e4ca13f0</t>
  </si>
  <si>
    <t>20d83f3ef0e6925fd74bfd59170babf7</t>
  </si>
  <si>
    <t>5b51032eddd242adc84c38acab88f23d</t>
  </si>
  <si>
    <t>aeb36d67f1414f234d42a29e27cf1f17</t>
  </si>
  <si>
    <t>318f287a62ab7ac10b703ac37435a231</t>
  </si>
  <si>
    <t>f61c63d13f7cd800549d5acdd390ae72</t>
  </si>
  <si>
    <t>c9aafcd0621b2207c10e32c649cada4d</t>
  </si>
  <si>
    <t>d17f467e4bf608a510c20d82f4ba3b6b</t>
  </si>
  <si>
    <t>1771297ac436903d1dd6b0e9279aa505</t>
  </si>
  <si>
    <t>fce62094ffe6a4009188ec44e681dfdd</t>
  </si>
  <si>
    <t>2a1348e9addc1af5aaa619b1a3679d6b</t>
  </si>
  <si>
    <t>55f7a3319d80f7fdf078b8f03e6725fe</t>
  </si>
  <si>
    <t>1ce3ae5a399804d1a87e706f8a813c3e</t>
  </si>
  <si>
    <t>430315b7bb4b6e4b3c978f9dfa9b0558</t>
  </si>
  <si>
    <t>a1474fd46fd3430168f7ec202da39408</t>
  </si>
  <si>
    <t>5bc55dbe2f12b6af6d83ed46023e0dc8</t>
  </si>
  <si>
    <t>5cbbd5a299cab112b7bf23862255e43e</t>
  </si>
  <si>
    <t>d25aa0aaacb370e912f8cf6efeba38b3</t>
  </si>
  <si>
    <t>f7720c4fa8e3aba4546301ab80ea1f1b</t>
  </si>
  <si>
    <t>5b35136197710e16ac5e7b7c2bd4ea85</t>
  </si>
  <si>
    <t>8d79c8a04e42d722a75097ce5cbcf2ef</t>
  </si>
  <si>
    <t>dd533b429f380718b70ad9922c294bae</t>
  </si>
  <si>
    <t>31561f325664a8a7aba4c8d0c3a9b3db</t>
  </si>
  <si>
    <t>fd386aa7bed2af3c7035c65506c9b4a3</t>
  </si>
  <si>
    <t>c394e193cda3b4225ff2094d32184849</t>
  </si>
  <si>
    <t>2156f2671501a81034d7d07f217609d0</t>
  </si>
  <si>
    <t>3fd1e727ba94cfe122d165e176ce7967</t>
  </si>
  <si>
    <t>33576ec5412fb5905d876f12f33bfde6</t>
  </si>
  <si>
    <t>cd06602b43d8800bd0afad514919d35c</t>
  </si>
  <si>
    <t>51702dc2a3e106c76dbff722b5bf0726</t>
  </si>
  <si>
    <t>730937bf88cb151eb2eb849f642fc213</t>
  </si>
  <si>
    <t>f593898ec748b7a8cb81fc04edafd98a</t>
  </si>
  <si>
    <t>df56d7b40d437f88407c5f78b63bc328</t>
  </si>
  <si>
    <t>60562ab00b8054280520d390c8c0045c</t>
  </si>
  <si>
    <t>e99e927c81e3f51739c94fcdfca9f10f</t>
  </si>
  <si>
    <t>d9e8c084b68fe958861d8f2c21202e6b</t>
  </si>
  <si>
    <t>d93844a9c55ba7ce353388bcf849ea56</t>
  </si>
  <si>
    <t>efcd8d2104f1a05d028af7bad20d974b</t>
  </si>
  <si>
    <t>3cfa1358a6caa965278721344c8d76f2</t>
  </si>
  <si>
    <t>49e7217cfe4e427191c378ec626d8737</t>
  </si>
  <si>
    <t>4c8545742faaf58fafd5fd14d25d75cf</t>
  </si>
  <si>
    <t>a369d693961cb93b61ca2cc518872a85</t>
  </si>
  <si>
    <t>6338ea67c41078a46ad99cc009654956</t>
  </si>
  <si>
    <t>8ab42aa58097fd4668d60cc648225d5f</t>
  </si>
  <si>
    <t>bd697db56ff8e7c9cd1abeb7f72029b2</t>
  </si>
  <si>
    <t>fec6275253471ace26d209bbaa64cd0f</t>
  </si>
  <si>
    <t>974cf2cb8f4b7add98709c30df02fe10</t>
  </si>
  <si>
    <t>f44b6f775a2b390380e0e30b5c9d3eee</t>
  </si>
  <si>
    <t>4992e76a42cb3aad7a7047e0d3d7e729</t>
  </si>
  <si>
    <t>612a743d294c27884fb7b80d2b19ba35</t>
  </si>
  <si>
    <t>56e361f411e38dcef17cdc2a3d99628b</t>
  </si>
  <si>
    <t>1987cd4be10fe09ee50454f9c354d1c6</t>
  </si>
  <si>
    <t>b494891378bd8f4560abe576c52deacd</t>
  </si>
  <si>
    <t>8f54d64f28a993550aa7943f12572959</t>
  </si>
  <si>
    <t>157c3e4b42f81ac4a44e8b1ca2fe9876</t>
  </si>
  <si>
    <t>9906e7aa42a3c067b7c9a564d01c4320</t>
  </si>
  <si>
    <t>9c068d10aca38e85c50202e17b4a7e88</t>
  </si>
  <si>
    <t>d32e3909cfb714fb2a6cb092c85b9c5f</t>
  </si>
  <si>
    <t>820cc752a266cdc6c1a1e61dd4583330</t>
  </si>
  <si>
    <t>0885aaf116795758dfeb5f1032487bcd</t>
  </si>
  <si>
    <t>78744a20ee2f80ba64f6804c25def2b8</t>
  </si>
  <si>
    <t>d3dcf0604eabf0224fbd5948b5e02f69</t>
  </si>
  <si>
    <t>082e0bf4cb865a6533b1e8e498cc0255</t>
  </si>
  <si>
    <t>ede0c03645598cdfc63ca8237acbe73d</t>
  </si>
  <si>
    <t>ccf8813e5a7d6c84d865cd38bfc2b130</t>
  </si>
  <si>
    <t>f125f3a310c2e5f822d116147de1e474</t>
  </si>
  <si>
    <t>bb7a14e229b1c95156719c3d9552eeee</t>
  </si>
  <si>
    <t>b335c59ab742f751a85db9c411a86739</t>
  </si>
  <si>
    <t>3504c0cb71d7fa48d967e0e4c94d59d9</t>
  </si>
  <si>
    <t>dd58ee93286b0821565574c570e9e1dc</t>
  </si>
  <si>
    <t>606ce7768feac12c5e8bd58db8b08f0f</t>
  </si>
  <si>
    <t>ffa6adafb71b807dc13159e26431354c</t>
  </si>
  <si>
    <t>e908c0f3646e8b60375734a350d95d71</t>
  </si>
  <si>
    <t>4305fe92735c8a43d154ff6dd2b8d927</t>
  </si>
  <si>
    <t>b56906f7fd1696e043f1bcce164c487b</t>
  </si>
  <si>
    <t>6f229cc508fc6915ed5c499efd93baa4</t>
  </si>
  <si>
    <t>5abb8ea023c77787f2c15da891c8d384</t>
  </si>
  <si>
    <t>f805b96fa705ba7995a221f1749dc141</t>
  </si>
  <si>
    <t>b74d1c09cb380e1d03a6f859c6f4224b</t>
  </si>
  <si>
    <t>fe26f3ecb51a15e6d8335cd92da42562</t>
  </si>
  <si>
    <t>f1b93673502375d491780bb49d615dbc</t>
  </si>
  <si>
    <t>cac876b37d3abcd6bd76caca30277996</t>
  </si>
  <si>
    <t>4b0fdb526525f9890eb145bf1534640e</t>
  </si>
  <si>
    <t>5a93f3ab0ef4c84ed5e1b5dbf23978bc</t>
  </si>
  <si>
    <t>116ccb1a1604bc88e4d234a8c23f33de</t>
  </si>
  <si>
    <t>888faa8bfb0b159c37de6d898b961c31</t>
  </si>
  <si>
    <t>1d4587203296c8f4ad134dc286fa6db0</t>
  </si>
  <si>
    <t>f214d28e8d8e3ef068748498ccc2f813</t>
  </si>
  <si>
    <t>bc302730ea8cf49b5c74f579febb5bbf</t>
  </si>
  <si>
    <t>655220df33262c7e0c4949a147366f94</t>
  </si>
  <si>
    <t>0bb738e4d789e63e2267697c42d35a2d</t>
  </si>
  <si>
    <t>2c4c47cb51acd5ea5db5e0ae0e26542a</t>
  </si>
  <si>
    <t>c4f7fee5b0db50e87766f5a4d1b1b758</t>
  </si>
  <si>
    <t>d3f39f05462b79a4562d35893a28f159</t>
  </si>
  <si>
    <t>41ab63a91b8b264e8c8780368bf1dd5b</t>
  </si>
  <si>
    <t>0725b8c0f3f906e58f70cbe76b7c748c</t>
  </si>
  <si>
    <t>fdaaf5bfda82b7b80535610c831b8d09</t>
  </si>
  <si>
    <t>bb5bd94c8f59cc050072d2930c869cac</t>
  </si>
  <si>
    <t>8603f0038fe0e52fedd3382d266723de</t>
  </si>
  <si>
    <t>1c40343cc5d18c2d8248ac2f3366de34</t>
  </si>
  <si>
    <t>5160d23075764e18e07c1f4a87fad743</t>
  </si>
  <si>
    <t>7fc87cc3e89b3d1d5cabdca32f8485aa</t>
  </si>
  <si>
    <t>7238a95bb63ef7e498389fb863b834a1</t>
  </si>
  <si>
    <t>cea729054f157f5870bdd321a958d994</t>
  </si>
  <si>
    <t>ffdd9f82b9a447f6f8d4b91554cc7dd3</t>
  </si>
  <si>
    <t>c013e57c075a06e5b5c48ee03c525719</t>
  </si>
  <si>
    <t>e9511df20ccd82658a30c37b7fb343af</t>
  </si>
  <si>
    <t>458d868c9642f55f18f04e951a3fdde6</t>
  </si>
  <si>
    <t>1444c08e64d55fb3c25f0f09c07ffcf2</t>
  </si>
  <si>
    <t>6989574bd97d9773f10d232b6c07da59</t>
  </si>
  <si>
    <t>47efca563408aae19bb7206c2d969ea9</t>
  </si>
  <si>
    <t>PI</t>
  </si>
  <si>
    <t>1b7e5006cb25dd23ce8686691013b121</t>
  </si>
  <si>
    <t>14a08204d03bb6b6bde8029f801ae0eb</t>
  </si>
  <si>
    <t>82bd0703a4aefd6b599e5bfdaed378fb</t>
  </si>
  <si>
    <t>323ce52b5b81df2cd804b017b7f09aa7</t>
  </si>
  <si>
    <t>13074f016982ff2bd6c58ced8682f000</t>
  </si>
  <si>
    <t>2e3be8a987a30d7544dbbda6861cc14e</t>
  </si>
  <si>
    <t>0015a82c2db000af6aaaf3ae2ecb0532</t>
  </si>
  <si>
    <t>0ffa40d54288e4f3499b8780dd0f144f</t>
  </si>
  <si>
    <t>8f78f0903005064036736c7173a5c2ed</t>
  </si>
  <si>
    <t>729b2d09b2a0bdab221076327f13d050</t>
  </si>
  <si>
    <t>e38db885400cd35c71dfd162f2c1dbcf</t>
  </si>
  <si>
    <t>04aba03279157f6d4e0fe8ccaf21963c</t>
  </si>
  <si>
    <t>5eeb9c756d9780b96283e5a2ac6da334</t>
  </si>
  <si>
    <t>850913d59ce317156b00f3705f1c3edb</t>
  </si>
  <si>
    <t>c2d70ce2c5d0a2eb75e78668236e6dc8</t>
  </si>
  <si>
    <t>de0c78824586e9a5f5f04fd84e25df39</t>
  </si>
  <si>
    <t>0ed6ce5d87fd9c69eaacaeb778d67235</t>
  </si>
  <si>
    <t>4978a02ea9c8be7a9b5480680f40334e</t>
  </si>
  <si>
    <t>78c99c6dff4eeae5be99bf635ed21e3f</t>
  </si>
  <si>
    <t>1354d51653f645349064725ed204e85e</t>
  </si>
  <si>
    <t>fe49ee029e61e789a1f3a5525f57ba8d</t>
  </si>
  <si>
    <t>fb89df7f89fd1b8f03fa2acca1ba7364</t>
  </si>
  <si>
    <t>cfe94489ddd337d1e29e12f2a7205d10</t>
  </si>
  <si>
    <t>6df688df543f90e9b38f4319e75a9d88</t>
  </si>
  <si>
    <t>a08692680c77d30a0b4280da5df01c5a</t>
  </si>
  <si>
    <t>acadd4d36859671cb635527c6c977533</t>
  </si>
  <si>
    <t>6bbcb8924baf70b7fe2fe2097e8cd407</t>
  </si>
  <si>
    <t>d06d019f72a04e5497a0b64190af170c</t>
  </si>
  <si>
    <t>9a84ba99f5367fdbd4598363496f1ea2</t>
  </si>
  <si>
    <t>3d39fbf22a665714baf62fae36029e23</t>
  </si>
  <si>
    <t>76833248bbc0e65a0293ec62023e4396</t>
  </si>
  <si>
    <t>7f7b8245c336066a1f9933c359f11d77</t>
  </si>
  <si>
    <t>7b8e8ec35bad4b0ef7e3963650b0a87b</t>
  </si>
  <si>
    <t>c6381d2d013342748761e906d45aff76</t>
  </si>
  <si>
    <t>77a515caa36327151d1cc6c32a9f00e1</t>
  </si>
  <si>
    <t>cd843d4cf8ef32827de0396605163ba3</t>
  </si>
  <si>
    <t>62c50c1af4dfdc4149d25c5222043d39</t>
  </si>
  <si>
    <t>34f563c82a85b99ae9e6d60db5fc2e28</t>
  </si>
  <si>
    <t>412a4720f3e9431b4afa1476a1acddbe</t>
  </si>
  <si>
    <t>1996942dc085d7773ba77a529b163cd0</t>
  </si>
  <si>
    <t>b83cedfb587e7911540e3f576d6917ce</t>
  </si>
  <si>
    <t>723cd880edaacdb998898b67c8f9da30</t>
  </si>
  <si>
    <t>3481aa57cd91f9f9d3fa1fa12d9a3bf7</t>
  </si>
  <si>
    <t>91f0eec23d4a61d7d7caeefa3f0ad1ca</t>
  </si>
  <si>
    <t>cf2384dd2f1dddea3f838efed0945e65</t>
  </si>
  <si>
    <t>9bcdfa7b615b3abb9461d9e3ad9886ae</t>
  </si>
  <si>
    <t>120476eb7a04c149d14772edaf5d9bf2</t>
  </si>
  <si>
    <t>f1c1ac3f3efc07e659c035008e615e66</t>
  </si>
  <si>
    <t>0417b067eeab773d2f7061a726dc477f</t>
  </si>
  <si>
    <t>17908cf9b444ee34047cadd5c0f4a516</t>
  </si>
  <si>
    <t>165b1235e9e9942cb5fae67103576fb0</t>
  </si>
  <si>
    <t>4391ea5c5990502176a1dcda44a2373d</t>
  </si>
  <si>
    <t>2be17df1c49978426251562096c3cc09</t>
  </si>
  <si>
    <t>f5f2ab9bdb6b30c14c61be68c5ed37da</t>
  </si>
  <si>
    <t>3a734b715d333a2588a3d54a0c9b8746</t>
  </si>
  <si>
    <t>53d00c40e32aeb924a84ce72b1af869d</t>
  </si>
  <si>
    <t>8c3b533c63cca56240f94f1e3a6b18ef</t>
  </si>
  <si>
    <t>8fe8786ee000001ab51d030dfd4a7bf1</t>
  </si>
  <si>
    <t>df91910b6a03bb2e3358fa6a35e32f6f</t>
  </si>
  <si>
    <t>c004e5ea15737026cecaee0447e00b75</t>
  </si>
  <si>
    <t>daeb5653dd96c1b11860f72209795012</t>
  </si>
  <si>
    <t>e5475dcab1e07b63d7f6e902d8f5eda8</t>
  </si>
  <si>
    <t>8ca1551acf9832a4cf467bbbac15851f</t>
  </si>
  <si>
    <t>c8467937e403e76a8ee9f0ab13f6f5ef</t>
  </si>
  <si>
    <t>373ee4a3a775a733770ca3f790b8b9ac</t>
  </si>
  <si>
    <t>f615fe7efbef0f4f08fd3086bc7a3e60</t>
  </si>
  <si>
    <t>07bf9669d84d1f11be443a9dd938f698</t>
  </si>
  <si>
    <t>9dda5bbacd45e18d6485fee649205d09</t>
  </si>
  <si>
    <t>1b1ae47a313a825a7ccceb8e2e30fa9d</t>
  </si>
  <si>
    <t>6aa3928696eab49a19a466e665a649fd</t>
  </si>
  <si>
    <t>72bc2cce903c872fe376a8faaa81d237</t>
  </si>
  <si>
    <t>55bb6fe5bebe5012e2d7d9928e1128ff</t>
  </si>
  <si>
    <t>54583ab379489add547fe47b628db589</t>
  </si>
  <si>
    <t>5debea795b07621e1f90532e18f96145</t>
  </si>
  <si>
    <t>6a38087bc8ad4f89ff453561005f6dea</t>
  </si>
  <si>
    <t>3a1a1fec38dd360f15fc912e821e169d</t>
  </si>
  <si>
    <t>272f092de69afedd4d2969440b37f18f</t>
  </si>
  <si>
    <t>93b9a99027bd8bd6af682aff18dd19bf</t>
  </si>
  <si>
    <t>25cf099de44674fde97473224f9d59ab</t>
  </si>
  <si>
    <t>bf84056e679dbe9c69929847a40e338f</t>
  </si>
  <si>
    <t>6b536a23086fba0d58c08d68814397f6</t>
  </si>
  <si>
    <t>e5f9e61ceb5f523cc966e0f34095032f</t>
  </si>
  <si>
    <t>3586b8580d9c917874e053a1bb37b5ff</t>
  </si>
  <si>
    <t>87d30a6a0cbf89356e49324971ab1d24</t>
  </si>
  <si>
    <t>747e73c01a4593d4cf60dcf970fd2689</t>
  </si>
  <si>
    <t>bf100ecb7997df312b285358fb32f92c</t>
  </si>
  <si>
    <t>65b081a070633e057c462abdd6fb9dd8</t>
  </si>
  <si>
    <t>8bdd8e3fd58bafa48af76b2c5fd71974</t>
  </si>
  <si>
    <t>95ec4458365c4d11f452ccf538377619</t>
  </si>
  <si>
    <t>ea65d8b58316a6f2362f2a9e4b3e86ad</t>
  </si>
  <si>
    <t>ed859002ad59dbf8cf3602696a6c3000</t>
  </si>
  <si>
    <t>7fdb0720c8d7c9075538b365dc8c3a22</t>
  </si>
  <si>
    <t>1dc2de47ee26a0a5b12dc14fd6dc0dea</t>
  </si>
  <si>
    <t>f41ce2e25237f9092cd8e6e7516c7a2f</t>
  </si>
  <si>
    <t>bc2ac6b95e1accce9858528ee566c17e</t>
  </si>
  <si>
    <t>d97df38225e5abadaff1e72cb72b823c</t>
  </si>
  <si>
    <t>7ade73f1b9b4e965f9009a4c3a7e2c15</t>
  </si>
  <si>
    <t>4c8b8048e33af2bf94f2eb547746a916</t>
  </si>
  <si>
    <t>2a6fbeaa7ab9e5d59a35841a8da71ce4</t>
  </si>
  <si>
    <t>ffeee66ac5d5a62fe688b9d26f83f534</t>
  </si>
  <si>
    <t>dc8798cbf453b7e0f98745e396cc5616</t>
  </si>
  <si>
    <t>e24d3429d294b2eb200b064ebb035879</t>
  </si>
  <si>
    <t>7139dc5186aa238b006e066d8fbab2e4</t>
  </si>
  <si>
    <t>f63d8f293af3a6454377546bd9dd19ff</t>
  </si>
  <si>
    <t>5b33b527da3c5b969cc99dc435cad09a</t>
  </si>
  <si>
    <t>d6ab728cf30867cf3f1a2e216ae2f9b7</t>
  </si>
  <si>
    <t>be9a160a9011f627c3e121d076c1ec7b</t>
  </si>
  <si>
    <t>4e5725ba188db8252977a4f0227bd462</t>
  </si>
  <si>
    <t>198c7ea11960a9844b544d9bcdca860c</t>
  </si>
  <si>
    <t>fac1a9017ade7bdc94058fc1c969f355</t>
  </si>
  <si>
    <t>3bfba5a77604f6dfae7e6dd7aaf65821</t>
  </si>
  <si>
    <t>1782ce2db72c3dda627d5e7c898104e1</t>
  </si>
  <si>
    <t>5b581417df4480f632484ba681e53944</t>
  </si>
  <si>
    <t>c679fb69a36e1d8349e8c50a217b4d58</t>
  </si>
  <si>
    <t>3d2531eccfbde1d7c8db7a3a12fb267a</t>
  </si>
  <si>
    <t>71592660bbcb6a4664e97b6f8b68babc</t>
  </si>
  <si>
    <t>731ef20c231d9a7103a425e83fd91271</t>
  </si>
  <si>
    <t>4e8dacf3d38f281ae26c3e0321d92d88</t>
  </si>
  <si>
    <t>c8417879a15366a17c30af34c798c332</t>
  </si>
  <si>
    <t>1976a05ecf2996d6ffb7b5430e635fe7</t>
  </si>
  <si>
    <t>15cd6eefe58588619aaed41dfa6621b1</t>
  </si>
  <si>
    <t>411f3b52d857390502ee4e4d5ceabc2d</t>
  </si>
  <si>
    <t>a36b125ac6d5fdbc7f50de85c9157bdc</t>
  </si>
  <si>
    <t>a5a1bfcf728ab0e19182959cf0771ee4</t>
  </si>
  <si>
    <t>30c7f28fd3a5897b2c82d152bb760c17</t>
  </si>
  <si>
    <t>8de8fe3af4449ed695d2434c933ed73e</t>
  </si>
  <si>
    <t>112453736dbe3889cfb74e1aaa0ba0c1</t>
  </si>
  <si>
    <t>9449f25aeaf531019b76999ea49a6949</t>
  </si>
  <si>
    <t>5ab05b6d86d417796c69ffd6774ec832</t>
  </si>
  <si>
    <t>3ca08eeb8d5595949fed424bd3677742</t>
  </si>
  <si>
    <t>9b00ed88b7fdb95d6ff76e27c1b52d16</t>
  </si>
  <si>
    <t>c4fb51fb1c5b7c07bc5e67be6e7e8f6e</t>
  </si>
  <si>
    <t>dfc475d54e1b6dbeeb7d7d9bdaa63827</t>
  </si>
  <si>
    <t>91f5779a8731baca4809fdeade81803f</t>
  </si>
  <si>
    <t>d9a84e1403de8da0c3aa531d6d108ba6</t>
  </si>
  <si>
    <t>d3674f271c91f824f82d24d92011f669</t>
  </si>
  <si>
    <t>f9903dd0f812c7e771fcad47b6fff231</t>
  </si>
  <si>
    <t>3935fe5fe0f82787a9dcb8deb62be09d</t>
  </si>
  <si>
    <t>5b85809efd0d0e4dea1a9544e1280ed9</t>
  </si>
  <si>
    <t>d1ef48b38baca7e831711c4a0aeb398f</t>
  </si>
  <si>
    <t>013900e863eace745d3ec7614cab5b1a</t>
  </si>
  <si>
    <t>74bafed391319577bce6f4d2acc0589a</t>
  </si>
  <si>
    <t>cb5df0dcb9e280b1780e9d589889f2c7</t>
  </si>
  <si>
    <t>c5f7feb04a6a1fb3596322bfc3cf1917</t>
  </si>
  <si>
    <t>7ecd59e5e20407131822c1a68ac59c1f</t>
  </si>
  <si>
    <t>1dfe5347016252a7884b694d4f10f5c4</t>
  </si>
  <si>
    <t>3e8bd881d92466e63ba9e3e809cd3c50</t>
  </si>
  <si>
    <t>845e8036c3f7bf62099352f5ed910240</t>
  </si>
  <si>
    <t>b2a6d334e2833acea353624840e25a0e</t>
  </si>
  <si>
    <t>3785b653b1b82de85ab47dd139938091</t>
  </si>
  <si>
    <t>8ec76bb0965af3f007692b26fa9d6623</t>
  </si>
  <si>
    <t>a70e9066dbfd10b6b97a3f54a1356762</t>
  </si>
  <si>
    <t>656591be56071d4c9ef4e5fee78a578a</t>
  </si>
  <si>
    <t>293dee954235e4e4e43f129313625ebe</t>
  </si>
  <si>
    <t>901b460cdce0c64e471230d7f2f9f3a3</t>
  </si>
  <si>
    <t>f1ed6bd0a9b11b581f16c851c6a5a527</t>
  </si>
  <si>
    <t>002100f778ceb8431b7a1020ff7ab48f</t>
  </si>
  <si>
    <t>7586919161935337bf6b6d7ff5779648</t>
  </si>
  <si>
    <t>75fbb52eda0cbc24f479d3b2fbfa8d3e</t>
  </si>
  <si>
    <t>abbf6046bbdf1028606a5bc7f00c99e7</t>
  </si>
  <si>
    <t>5b0cc932433fa5184b5b94bfe6bcc256</t>
  </si>
  <si>
    <t>1690cada046eb7e92c12f98b1f8a8167</t>
  </si>
  <si>
    <t>058cb5aeb36d7c0fcae20fc85d5e0a59</t>
  </si>
  <si>
    <t>15fa791d5e017f66402dc28c44480657</t>
  </si>
  <si>
    <t>094ced053e257ae8cae57205592d6712</t>
  </si>
  <si>
    <t>ca4b77513ac2040591b0d8fae6958380</t>
  </si>
  <si>
    <t>406740ee611378a662d274c7d8c43c4a</t>
  </si>
  <si>
    <t>2a61c271b1ac763450d846849783e922</t>
  </si>
  <si>
    <t>c3e1abd72a42fe690fcd89cf5720fe29</t>
  </si>
  <si>
    <t>dd4d95ba2d15c071e6c695e2ef6ce169</t>
  </si>
  <si>
    <t>a4bd6e9adf39b63f43dc545d3ca1f53d</t>
  </si>
  <si>
    <t>8378eb36b6b70c5734e83ad7b8cdc3b7</t>
  </si>
  <si>
    <t>e2c92f9c1c7746d899d18f2e158bbff7</t>
  </si>
  <si>
    <t>2ff6b7bff164ef05590a52734e1296da</t>
  </si>
  <si>
    <t>fa3a0b5aabb344b9a92e3524b0202123</t>
  </si>
  <si>
    <t>ffc470761de7d0232558ba5e786e57b7</t>
  </si>
  <si>
    <t>df0f42bc4c2142eacf0eaf2cffd0cfbb</t>
  </si>
  <si>
    <t>d5b9a084373da994a6e37f732169a853</t>
  </si>
  <si>
    <t>0b18d63d0cd1d723567903fd34a07df2</t>
  </si>
  <si>
    <t>8a2d12a90e92f012ce5226fc6592b653</t>
  </si>
  <si>
    <t>e63e8bfa530fb16910dd6956e592bb81</t>
  </si>
  <si>
    <t>3a4127e1ba7208ea37044c5092aae170</t>
  </si>
  <si>
    <t>26e2c91ef821e1ff8985f408788fe35b</t>
  </si>
  <si>
    <t>0ac4201fda2c68ebc0e47cb9423cf3c9</t>
  </si>
  <si>
    <t>edc518ba25576a0188a0e8f2c3af186f</t>
  </si>
  <si>
    <t>718539d38d07dd351c76db862760e2e2</t>
  </si>
  <si>
    <t>39d54ff918774174706fb065d7f9dc07</t>
  </si>
  <si>
    <t>6ddc28b61be28373b4503a1f61cf98a9</t>
  </si>
  <si>
    <t>e64d65bc8dbec2accda90c58de5d1246</t>
  </si>
  <si>
    <t>66fd84ee7528c0c0de85d0f44a73d5ab</t>
  </si>
  <si>
    <t>52f0fe436a347ddad7ed5f9aa4e27eaa</t>
  </si>
  <si>
    <t>8daab2245ebdc277c51098d01c5ad8ef</t>
  </si>
  <si>
    <t>77fccaae319668a8ab6cd0fd16aec48c</t>
  </si>
  <si>
    <t>8a1ff5c35f6595a73fef4c7b96e4908a</t>
  </si>
  <si>
    <t>392e0502231ae2f8b29994ef6398cd77</t>
  </si>
  <si>
    <t>659e8466eb3ff1b0e8740d74fb7bbedd</t>
  </si>
  <si>
    <t>af3ef48d0e13835e529c29ac573c63e5</t>
  </si>
  <si>
    <t>5075aaa8404020ae6aa8bf4792099b41</t>
  </si>
  <si>
    <t>5f67c6082caacb26e431a7b17940cece</t>
  </si>
  <si>
    <t>866558b3bccef2dbc6d29a2b5995016f</t>
  </si>
  <si>
    <t>ec4608a1f76453166bb312b2968aeaf4</t>
  </si>
  <si>
    <t>b33aaadd1a8891d2dfef0c4c3bdf0371</t>
  </si>
  <si>
    <t>0887a9f087bcd5d9f6642b52f897fc6c</t>
  </si>
  <si>
    <t>06bb3a2fe5e7b7a845b13e8fb91bd944</t>
  </si>
  <si>
    <t>7a2d2949aea47fab95fd98d6c9f618b1</t>
  </si>
  <si>
    <t>3771c85bac139d2344864ede5d9341e3</t>
  </si>
  <si>
    <t>d4e12e7884759a14fa0f5f896c791cae</t>
  </si>
  <si>
    <t>f918546be4bec7104d117789ba758b2b</t>
  </si>
  <si>
    <t>41b86b552e54e3a7009596125aa8b167</t>
  </si>
  <si>
    <t>bafc5aa11e413978be29040f51342e70</t>
  </si>
  <si>
    <t>f3c38ab652836d21de61fb8314b69182</t>
  </si>
  <si>
    <t>4bf658053d453036c70976bccb2c31b2</t>
  </si>
  <si>
    <t>1660ad786c27fd935378b6192a90b417</t>
  </si>
  <si>
    <t>cbf09e831b0c11f6f23ffb51004db972</t>
  </si>
  <si>
    <t>138dbe45fc62f1e244378131a6801526</t>
  </si>
  <si>
    <t>e256a62e0ac58c0edfba09966142d561</t>
  </si>
  <si>
    <t>081acf3de680d554796c9cf041be7bc2</t>
  </si>
  <si>
    <t>97512d3fc193b2d1dfcdba0f9d1f0f8a</t>
  </si>
  <si>
    <t>53b0300ca793f9834cd69c0678d35ee8</t>
  </si>
  <si>
    <t>d354c38a7182125a748cb10474fe963b</t>
  </si>
  <si>
    <t>a23266650e7c84bb93fbbba502137478</t>
  </si>
  <si>
    <t>cb810bd318f51b3dc3c753944d61a1fa</t>
  </si>
  <si>
    <t>244b04680fdbded0acf5aebd9c92b44a</t>
  </si>
  <si>
    <t>d8c7ba53e7e38711eaef8c2849d6d2e1</t>
  </si>
  <si>
    <t>817f85dbb65aa3e70831d90fe75cdf89</t>
  </si>
  <si>
    <t>01fd077212124329bac32490e8ef80d9</t>
  </si>
  <si>
    <t>6806dad1da97bfb5a9038eac6881f706</t>
  </si>
  <si>
    <t>d2e753bb80b7d4faa77483ed00edc8ca</t>
  </si>
  <si>
    <t>02c988090b766852e088c69d7fb3b551</t>
  </si>
  <si>
    <t>78a4d36f65a019172c6154468831a69f</t>
  </si>
  <si>
    <t>6b1c4d4d9ccf0be3d8544eb0e71e5318</t>
  </si>
  <si>
    <t>83b08de96980757220871b31bf6cffca</t>
  </si>
  <si>
    <t>b0f2a6122a90a93eb03e68653dd960e3</t>
  </si>
  <si>
    <t>0eaa7e33d73809f1f925f7d07c506cbd</t>
  </si>
  <si>
    <t>7813ea3ebd9411dc600b4dd01f7a97b9</t>
  </si>
  <si>
    <t>5e105f5c9f63f5f1fd75d6cb942e55b1</t>
  </si>
  <si>
    <t>5f3ae9136c875522250f8184f253413a</t>
  </si>
  <si>
    <t>7e26c750b4cb9f6766f58265ff9ebe95</t>
  </si>
  <si>
    <t>2709af9587499e95e803a6498a5a56e9</t>
  </si>
  <si>
    <t>d4ffeb15b67e81ff9af2b4252d99fb7e</t>
  </si>
  <si>
    <t>2e1a7d075abe038c1b2743005fe42ff1</t>
  </si>
  <si>
    <t>b6e1504972665f739dec4facb9943775</t>
  </si>
  <si>
    <t>70f84699be677ec988d1fa824aef7d90</t>
  </si>
  <si>
    <t>3a490ba60afa30ece0e7d50cfe74a4f0</t>
  </si>
  <si>
    <t>a414555ce331b8c8aea4a9cb8395194d</t>
  </si>
  <si>
    <t>a1040efe9ff4a6f93c28b0499eada8f5</t>
  </si>
  <si>
    <t>427165bf50f8ca07efc7bdc2bfcf1688</t>
  </si>
  <si>
    <t>671585f5a2af58b6e276bc01003c0d2b</t>
  </si>
  <si>
    <t>b8114f2f589a6804810f04f99b36b498</t>
  </si>
  <si>
    <t>f5f1f2c5f923f36ad79ea1d07185ddc9</t>
  </si>
  <si>
    <t>4d232b78ab7ef10393dc3807d827bc0d</t>
  </si>
  <si>
    <t>9a03a4e9eb0b947652fae4f6121a3f5e</t>
  </si>
  <si>
    <t>b9ca8e8baa5d4aa038394a700f63e69f</t>
  </si>
  <si>
    <t>8ff1a9df749e454105c55cda13e79143</t>
  </si>
  <si>
    <t>9f50216bfd01913736a55a11b55ea842</t>
  </si>
  <si>
    <t>4ba52dfeba874da5b9ee7b17c7494f04</t>
  </si>
  <si>
    <t>542917da124346b47ea1ac79a93ce454</t>
  </si>
  <si>
    <t>ec933281fb017b5020d06df29c3f77e8</t>
  </si>
  <si>
    <t>c5f7e746b7e6d07def6c0dae9903279b</t>
  </si>
  <si>
    <t>714b9a1332840f257b49f476bea4e341</t>
  </si>
  <si>
    <t>5145090ab595c0d0b8557199f5701fbf</t>
  </si>
  <si>
    <t>42ef3192a9ff87a22d1867b74b3ee205</t>
  </si>
  <si>
    <t>f5f46307a4d15880ca14fab4ad9dfc9b</t>
  </si>
  <si>
    <t>134285d1f41da5c13a756ee8142c8a4e</t>
  </si>
  <si>
    <t>1b8b75e227c9a9c100d0c210fb6176ce</t>
  </si>
  <si>
    <t>01bcc9d254a0143f0ce9791b960b2a47</t>
  </si>
  <si>
    <t>b9a03475e6447e631b6799ec8274800f</t>
  </si>
  <si>
    <t>e7f3bf1ecd8526eb7f3b18059e6716e5</t>
  </si>
  <si>
    <t>921323538c9f1c4e816f2720eac02bea</t>
  </si>
  <si>
    <t>1dd33b8119b3cb1056ed5dc88cd0aaf4</t>
  </si>
  <si>
    <t>850857dfac77488c307e2b1cbd84ab5a</t>
  </si>
  <si>
    <t>47648caee88ccfe951fbb27fbf7b4cbe</t>
  </si>
  <si>
    <t>81336a0f57a33776419727a300249e90</t>
  </si>
  <si>
    <t>20cb7c2fde3e5bf10f0bbe7394e1c6a9</t>
  </si>
  <si>
    <t>02dcd3e8e25bee036e32512bcf175493</t>
  </si>
  <si>
    <t>2dcf93836ae3ce0d7c93e2f10876467a</t>
  </si>
  <si>
    <t>49cdc90518a4f82676b38b3c1aa43ff6</t>
  </si>
  <si>
    <t>49067458c68f7701fd334ce326accbe0</t>
  </si>
  <si>
    <t>a5259c149128e82c9d6d46e0c1c812bb</t>
  </si>
  <si>
    <t>57c764b4a836300be881e2ff86e449f9</t>
  </si>
  <si>
    <t>9da1ca0bef29ee170e541927a5aeabdc</t>
  </si>
  <si>
    <t>9b522ba7eae9e1d04082f267144583cc</t>
  </si>
  <si>
    <t>186cdd1b2df32caa72cfb410bba768d3</t>
  </si>
  <si>
    <t>88cf19ec1fc2c58f161aee259d57142c</t>
  </si>
  <si>
    <t>985c92cc412091f8529c12d7f23d3fef</t>
  </si>
  <si>
    <t>863d2ebcd347ce4922de7a0f9a5581d6</t>
  </si>
  <si>
    <t>f08c008c8a8d31417763738a1788a2a8</t>
  </si>
  <si>
    <t>8185694b58b2ba6de20fd41ae608bbea</t>
  </si>
  <si>
    <t>a7c88262832dfc683781d6a421edefae</t>
  </si>
  <si>
    <t>36890be00bbfc1cdb9a4a38a6af05a69</t>
  </si>
  <si>
    <t>adcf50477d6a1f5d91bb9d54c4903cb5</t>
  </si>
  <si>
    <t>11fb6f6d341adbe19e81733701704635</t>
  </si>
  <si>
    <t>6426d21aca402a131fc0a5d0960a3c90</t>
  </si>
  <si>
    <t>5a425cc503b39b262a847fd6212bf53b</t>
  </si>
  <si>
    <t>6eb94e1466490d327a09abf8f3552a50</t>
  </si>
  <si>
    <t>0aea4c6ae1505b3228ddf3dd7822ee5b</t>
  </si>
  <si>
    <t>141440cad9341e553f8401c574a2aa38</t>
  </si>
  <si>
    <t>fe701d88b67eaca109dffd464d1be9f9</t>
  </si>
  <si>
    <t>431050a06a317f2b38168dec3dcd2b46</t>
  </si>
  <si>
    <t>dace965ca58120f92f8d742a9fa1864b</t>
  </si>
  <si>
    <t>5bf397d04035b5f45cc41e82ec106803</t>
  </si>
  <si>
    <t>25e47381a6c510ddeb36084e33b89f0c</t>
  </si>
  <si>
    <t>b1aaae6b66ad3c40f54b389d7ea4bee0</t>
  </si>
  <si>
    <t>0ad80de75c811326389cfb1daba7d45e</t>
  </si>
  <si>
    <t>52f9db5cfb423382a2fa5c9e39303202</t>
  </si>
  <si>
    <t>a13580f0e8f782b7a543885a0ef99f08</t>
  </si>
  <si>
    <t>093805f8f2aeb63881444571e1f48f30</t>
  </si>
  <si>
    <t>c8c1bea22194a4eefa2dc9a9fa89f536</t>
  </si>
  <si>
    <t>d101c6da914ae3d53f7bee42283f2fe2</t>
  </si>
  <si>
    <t>0afccdb8a34ee5c79f7c06faf2b4d56e</t>
  </si>
  <si>
    <t>d7827b2af99326a03b0ed9c7a24db0d3</t>
  </si>
  <si>
    <t>f4a04f7be452aa3bb31760bf00055dd0</t>
  </si>
  <si>
    <t>fcf16b7a8697e559f0123190bb30177d</t>
  </si>
  <si>
    <t>0b0ddbc7b9d9584f442c7ac92b0ff6c9</t>
  </si>
  <si>
    <t>2646baaf662d4d92ac48f047e35db92d</t>
  </si>
  <si>
    <t>e439f7176d763f92de325271111b2fd5</t>
  </si>
  <si>
    <t>1284de4ae8aa26997e748c851557cf0e</t>
  </si>
  <si>
    <t>7357b52d27cbaa90f81a96cbc1279396</t>
  </si>
  <si>
    <t>c794dab4928dd97beb41d05514441e86</t>
  </si>
  <si>
    <t>2d518637f53161b973e01f56ea4bb88e</t>
  </si>
  <si>
    <t>113e3a788b935f48aad63e1c41dac1bd</t>
  </si>
  <si>
    <t>01ed254b9ff8407dfb9d99ba1e17d923</t>
  </si>
  <si>
    <t>8e2b3afb420011ef0c88c9d5f11ea526</t>
  </si>
  <si>
    <t>1caf283236cd69af44cbc09a0a1e7d32</t>
  </si>
  <si>
    <t>b43d8b707f887a30f4675391098354a0</t>
  </si>
  <si>
    <t>3f8034bfc6b8b4135534975d49f04c63</t>
  </si>
  <si>
    <t>bb135baca94c82fcb731335ad5b04a03</t>
  </si>
  <si>
    <t>128f9bfbe4c7d5185033914b1de3d39a</t>
  </si>
  <si>
    <t>c35672b10ad50968f567ea3f4b91e877</t>
  </si>
  <si>
    <t>2bd05d410a8fd26dc4184a15f4f2f588</t>
  </si>
  <si>
    <t>0bebbb2cea103a4a020c95d43fd7d754</t>
  </si>
  <si>
    <t>4e06067cc08b3f41d837768d392c3ee3</t>
  </si>
  <si>
    <t>1464afc72f696af775557a821c2e253f</t>
  </si>
  <si>
    <t>c7b7db6c8f3c64a7cc1afa634db21d50</t>
  </si>
  <si>
    <t>7a425d299613df3e613bcf9d2eaf5c49</t>
  </si>
  <si>
    <t>da7039f29f90ce5b4846ffc0fcc93beb</t>
  </si>
  <si>
    <t>1ca4bdb0cd7fc48e949bac066188ed26</t>
  </si>
  <si>
    <t>8629c241b3622ac12cd4118afdc8d394</t>
  </si>
  <si>
    <t>9a1aea68d3efa00862ec88c0768037d0</t>
  </si>
  <si>
    <t>b8578d2d823bd8e251f6fdd02b40902d</t>
  </si>
  <si>
    <t>3092c0b297aacfb4bb6e056ebe13b9b8</t>
  </si>
  <si>
    <t>51ed72984a04e5dd35c2b27e77179038</t>
  </si>
  <si>
    <t>c3ee2331a724e6fc02c4b698b57a73f3</t>
  </si>
  <si>
    <t>f205b1a3ca9a34e0f8a228bae6e4c7b3</t>
  </si>
  <si>
    <t>1dcfa3835714681d4ba4a93bc1e0fd41</t>
  </si>
  <si>
    <t>5151aea44289d6c6b090ee31c2132508</t>
  </si>
  <si>
    <t>402916f742e5c740cc751493d9cf5053</t>
  </si>
  <si>
    <t>d1c7fa84e48cfa21a0e595167c1c500e</t>
  </si>
  <si>
    <t>f1b854361f4e15d5851b494df66f22b2</t>
  </si>
  <si>
    <t>04843805947f0fc584fc1969b6e50fe7</t>
  </si>
  <si>
    <t>4eb61f060e7dcc1d5a80d806c35cc541</t>
  </si>
  <si>
    <t>6b89abe95848c850399130d149a39b63</t>
  </si>
  <si>
    <t>2f73e04d12cdf0c945ded66bb3fcf6c7</t>
  </si>
  <si>
    <t>2d378dbb39815785238c0139c7647fb7</t>
  </si>
  <si>
    <t>a478c7961d6a992065b24e63b366f90b</t>
  </si>
  <si>
    <t>4736e9d642ef4257cd7622516931eb51</t>
  </si>
  <si>
    <t>556a6409838156ea299c9d1f9e2dde43</t>
  </si>
  <si>
    <t>010543a62bd80aa422851e79a3bc7540</t>
  </si>
  <si>
    <t>091065b789659bc3cd9af9cb3a6253ff</t>
  </si>
  <si>
    <t>c273175f7c6c80fb02f051e2fc6d0d72</t>
  </si>
  <si>
    <t>9140bd1d9de28b197dce077bdd687438</t>
  </si>
  <si>
    <t>3faf68a3b0af94b10bac70d86077be49</t>
  </si>
  <si>
    <t>89c127985a8b130cfa45c1d36764017a</t>
  </si>
  <si>
    <t>5795aebfe331fbcd02a2c4b679fb7952</t>
  </si>
  <si>
    <t>7f40d06aa0b5f1aa4f41af8c0480e2ef</t>
  </si>
  <si>
    <t>491a5ada3aa1678414e990262c4bbdc1</t>
  </si>
  <si>
    <t>5ee7fd217d08dfe5d3e2f51f96a12c9a</t>
  </si>
  <si>
    <t>325f3178fb58e2a9778334621eecdbf9</t>
  </si>
  <si>
    <t>b566ab0ef88016e00422755e305103c6</t>
  </si>
  <si>
    <t>3fac58ce0ad699020c7944d53c41329c</t>
  </si>
  <si>
    <t>334cab711dee080b079fa5779b584783</t>
  </si>
  <si>
    <t>cda598c48d7c614bc1cad7d8ff6f0010</t>
  </si>
  <si>
    <t>8ea394aed8138685abe1eb9f25e1021d</t>
  </si>
  <si>
    <t>269cff2d3c8d205c11f37a52402ea93b</t>
  </si>
  <si>
    <t>30a81d8cf85fb2ada1b1b094c9583a95</t>
  </si>
  <si>
    <t>e48cc16ab70bfa09e1401740dce0b3d7</t>
  </si>
  <si>
    <t>439a47cc365d6e3bd526812ea9de3c29</t>
  </si>
  <si>
    <t>5d76d80a2f5f39c891b996a1bf4c9853</t>
  </si>
  <si>
    <t>8c5e007d7bd5693fa1386ffefbc99f6c</t>
  </si>
  <si>
    <t>bc07d855eac23aab5ac8a120f21d16b2</t>
  </si>
  <si>
    <t>e3d3b3efac954a60d61be70b7e05b49b</t>
  </si>
  <si>
    <t>7ff588a03c2aeae4fbd23f9ae64b760d</t>
  </si>
  <si>
    <t>a425f92c199eb576938df686728acd20</t>
  </si>
  <si>
    <t>7daca0837f033a41a6f3428c18657533</t>
  </si>
  <si>
    <t>8a9260f2b0340411d6d2a56bcf4f7378</t>
  </si>
  <si>
    <t>788e857f317e53de488d393e65a80f45</t>
  </si>
  <si>
    <t>67225bff54a172ff67579aaf583efd78</t>
  </si>
  <si>
    <t>PA</t>
  </si>
  <si>
    <t>a36ac007a4d18f865c8d32c3b2402c2d</t>
  </si>
  <si>
    <t>626ab1cd96932367f0eeec2e47046c12</t>
  </si>
  <si>
    <t>b55638ad525e906c698fa2ce742c1742</t>
  </si>
  <si>
    <t>2cb6eb1b7185064167657fa09f541105</t>
  </si>
  <si>
    <t>4324dd16853115efb0fd9d0d131ba6f4</t>
  </si>
  <si>
    <t>fec8cd45395b3cb0c2b173d7739706a1</t>
  </si>
  <si>
    <t>c0098efcf800861dcae589affca31408</t>
  </si>
  <si>
    <t>b586cd24c010a13916af621b0325fbba</t>
  </si>
  <si>
    <t>5d9f3746e112e696f98ea22c56b3e912</t>
  </si>
  <si>
    <t>8fdca8e349553f99bc738833a62c8802</t>
  </si>
  <si>
    <t>d4910f1cdcfdabd48d6b316e395d4a23</t>
  </si>
  <si>
    <t>6562efe88ce0826a4ca4f189f03b4b84</t>
  </si>
  <si>
    <t>5f26c1408a65b42a7224cd463bdf3292</t>
  </si>
  <si>
    <t>fa74b2f3287d296e9fbd2cc80f2d1cf1</t>
  </si>
  <si>
    <t>f9d010e39375d9c91dce3f40b73a2f84</t>
  </si>
  <si>
    <t>d1b9d4be4b6f9ebd85f8acd6745ba612</t>
  </si>
  <si>
    <t>04e38a233f726ef161074ab1c9b0399a</t>
  </si>
  <si>
    <t>a066df7361163e7ddc5d7452dd17448b</t>
  </si>
  <si>
    <t>9ed65337433adfbedefd23dd76eaa494</t>
  </si>
  <si>
    <t>5b2e94f2c22b39ccc24d34ad0f669672</t>
  </si>
  <si>
    <t>5b97c06a046398e7005b2b7c0d707a92</t>
  </si>
  <si>
    <t>3f2af2670e104d1bcb54022274daeac5</t>
  </si>
  <si>
    <t>ecccfa2bb93b34a3bf033cc5d1dcdc69</t>
  </si>
  <si>
    <t>9d7a1d34a5052409006425275ba1c2b4</t>
  </si>
  <si>
    <t>6bef34c5be6f2bbd70aa5165f6df94b1</t>
  </si>
  <si>
    <t>e504a4e2efaa45cbff7e268a2c58c956</t>
  </si>
  <si>
    <t>abc015ebac1d283a323ca9db35ede4b9</t>
  </si>
  <si>
    <t>bb5d956dece964a06c12bceb66b923ae</t>
  </si>
  <si>
    <t>700f03c207639c22d933381ff60b35c2</t>
  </si>
  <si>
    <t>45a3d05fb00435e52a28859dd03703b3</t>
  </si>
  <si>
    <t>00720abe85ba0859807595bbf045a33b</t>
  </si>
  <si>
    <t>4eeb99008a0f59d2c7759c59f9a346eb</t>
  </si>
  <si>
    <t>5b07547f10dd980738a1a27f685af669</t>
  </si>
  <si>
    <t>89f69225956f951295ca4c7fb1266553</t>
  </si>
  <si>
    <t>76ea5315acb3f5f7ade3cd261faf922a</t>
  </si>
  <si>
    <t>4091f77d8c768fc3e81c20761471761d</t>
  </si>
  <si>
    <t>973f21788dfab357250f69a8dcb7ddee</t>
  </si>
  <si>
    <t>b18871c324516afa228a13e8f1ef0ae9</t>
  </si>
  <si>
    <t>c878515173c84a492ebe50d6b493230b</t>
  </si>
  <si>
    <t>bc47d5d1490df2b36add65d733eafaba</t>
  </si>
  <si>
    <t>119d1aef1b4144adba89163f6cd9f5d4</t>
  </si>
  <si>
    <t>4ebdc7e6cd6102a022dadc49156d4ea8</t>
  </si>
  <si>
    <t>4fb41dff7c50136976d1a5cf004a42e2</t>
  </si>
  <si>
    <t>b5e3e38609125694d2ea2417522a60b7</t>
  </si>
  <si>
    <t>7c5b05cbdb5542049f38d90d7815b97d</t>
  </si>
  <si>
    <t>10ff823eda2b032e2c93d17a7d294736</t>
  </si>
  <si>
    <t>1cbd32d00d01bb8087a5eb088612fd9c</t>
  </si>
  <si>
    <t>dbec9a0a7efeff029d4d9dce7dc4cc95</t>
  </si>
  <si>
    <t>3dbbce181edfaa4a597ec858c382d2ec</t>
  </si>
  <si>
    <t>577719699805dd125d5b6fdde5943bba</t>
  </si>
  <si>
    <t>5fd924b4836098a5be0ecf81ba054ce0</t>
  </si>
  <si>
    <t>734def04b237117a09321dd6d8f3f2a2</t>
  </si>
  <si>
    <t>4a1f694197d05fe70026b016a7316b41</t>
  </si>
  <si>
    <t>ef2fbc2b607d8492bcffe657a4645434</t>
  </si>
  <si>
    <t>e84ad2127668df3aafc6b73531a0beb8</t>
  </si>
  <si>
    <t>c8e135e7b21ecbc36c1153a29d2f5a06</t>
  </si>
  <si>
    <t>9c4d31c7e46ab03a43fc06e3142afd4e</t>
  </si>
  <si>
    <t>327b89b872c14d1c0be7235ef4871685</t>
  </si>
  <si>
    <t>AM</t>
  </si>
  <si>
    <t>6c6cc59a5c00cacc5054ca06d65cc282</t>
  </si>
  <si>
    <t>1b65c144b17e607c0f37f10bb7dfec8d</t>
  </si>
  <si>
    <t>03a2a6dcbe45d639c4dc2a0d24769c40</t>
  </si>
  <si>
    <t>7238f877570096ae403c51898fa64566</t>
  </si>
  <si>
    <t>f235413f677777a0738ff215d0184901</t>
  </si>
  <si>
    <t>980640c45d7a4635885491d077167e4d</t>
  </si>
  <si>
    <t>76c47a299e4a8fe992316a85865acbe9</t>
  </si>
  <si>
    <t>457fe919b032a3f7dadba6fb92cf7855</t>
  </si>
  <si>
    <t>226b05fe067266c59c15dae208213d06</t>
  </si>
  <si>
    <t>83645b1645cdee8953ee54c29ceed564</t>
  </si>
  <si>
    <t>26785a546900236d66f2e4197c211158</t>
  </si>
  <si>
    <t>8fbd63429be6d3e5e6d1a709b6464802</t>
  </si>
  <si>
    <t>a20d8058c866dbaeca014d2cd20ac62e</t>
  </si>
  <si>
    <t>41da412d33e8da4f22baf55cb1bde82c</t>
  </si>
  <si>
    <t>5b664594895aefb418afaee6d40a9a23</t>
  </si>
  <si>
    <t>343e716476e3748b069f980efbaa294e</t>
  </si>
  <si>
    <t>71dc18fd8cbf5fd77f45dd8b427abb34</t>
  </si>
  <si>
    <t>4b39558c138930b9e5489c93b6df5fe3</t>
  </si>
  <si>
    <t>SE</t>
  </si>
  <si>
    <t>6a8a889bde935bafa76d7848782dfaf9</t>
  </si>
  <si>
    <t>1d2732ef8321502ee8488e8bed1ab8cd</t>
  </si>
  <si>
    <t>1710c3aaa9c6b44ec3883ee0fe300e21</t>
  </si>
  <si>
    <t>fb3cfbc8a86f5d7fbb4d36b8df63f60d</t>
  </si>
  <si>
    <t>5011f0d93373a4c5753adf58ca77af8d</t>
  </si>
  <si>
    <t>596849622429351f47b32e6cae1055ff</t>
  </si>
  <si>
    <t>4200ddf1967c5e41e48db62bc6d4b5ac</t>
  </si>
  <si>
    <t>3d4b1ae7539303b5704493798893e82c</t>
  </si>
  <si>
    <t>4cf490a58259286ada5ba8525ba9e84a</t>
  </si>
  <si>
    <t>9261d76c62caaf0b24677c2ceb7f8f20</t>
  </si>
  <si>
    <t>fe87f472055fbcf1d7e691c00b1560dc</t>
  </si>
  <si>
    <t>08d2d642cf72b622b14dde1d2f5eb2f5</t>
  </si>
  <si>
    <t>b2eecf5ea250510da76590ca79d60e5d</t>
  </si>
  <si>
    <t>713e3a23ca5e47786eb6f0d99f94cfac</t>
  </si>
  <si>
    <t>18e694e0e48ed6f7aa3f24aade5fd697</t>
  </si>
  <si>
    <t>e250d617a0ad591ba9bd663e584a895d</t>
  </si>
  <si>
    <t>2d42ebcda99fd55f6f4bc2f1ca035d50</t>
  </si>
  <si>
    <t>ea6b12bf9ffe2bac34602ec631d97a47</t>
  </si>
  <si>
    <t>10089e9f2fd0c668a8fd4e52e1698888</t>
  </si>
  <si>
    <t>10076e5788b8ee532724bcd460baf762</t>
  </si>
  <si>
    <t>c03121937e54a93fcc1825c3098bbb6e</t>
  </si>
  <si>
    <t>48328ec9a579151d9cc6a86d4a59336c</t>
  </si>
  <si>
    <t>de9727ca376d1be6ec121b110aa7954c</t>
  </si>
  <si>
    <t>365e445f796710c3431557e85caa25db</t>
  </si>
  <si>
    <t>bf00385a5f7fc1ef39a13c2e9ee50a5f</t>
  </si>
  <si>
    <t>28f10b1c5e5abb9d4857745bede6147c</t>
  </si>
  <si>
    <t>eb72802c83dc7547529c9546d1a9b8ef</t>
  </si>
  <si>
    <t>167fd940acebc789debd6eb418c46e38</t>
  </si>
  <si>
    <t>8f2b51a30523cdecddc2f179f351c7d6</t>
  </si>
  <si>
    <t>51e4e89242cbb846c2deff3dc015650e</t>
  </si>
  <si>
    <t>39f776d2974049026ff531fc42ef2a3e</t>
  </si>
  <si>
    <t>edd066cd02126d7800f9b66e980e9931</t>
  </si>
  <si>
    <t>7df1fc11cc5cbc518b39faa60cf5d67c</t>
  </si>
  <si>
    <t>05730013efda596306417c3b09302475</t>
  </si>
  <si>
    <t>e58a5b390e28abc0b216cfb0e07d27d7</t>
  </si>
  <si>
    <t>55dedd83e501d8248880557d9073cbfd</t>
  </si>
  <si>
    <t>d66c11a9572221d92fbb8c4897db5f9b</t>
  </si>
  <si>
    <t>8b655f0855926bcb49f5835d38dfddf6</t>
  </si>
  <si>
    <t>82cb9f452fe8334df74b22d37824b431</t>
  </si>
  <si>
    <t>515d781150feed28a6ac091bb0e3cb8c</t>
  </si>
  <si>
    <t>db46ca7bce82b11f7e247539271fc390</t>
  </si>
  <si>
    <t>e1dc0754bada9ee4cfe9713f22f61292</t>
  </si>
  <si>
    <t>f8201cab383e484733266d1906e2fdfa</t>
  </si>
  <si>
    <t>70849ca4f400aaabb62cb7462a6f1428</t>
  </si>
  <si>
    <t>1bc2e21de46adfea6b98cc96b00f3b40</t>
  </si>
  <si>
    <t>c54679b132454625907c773d273d4126</t>
  </si>
  <si>
    <t>c4fabeea6e569d42d02993bb1f4f1cbc</t>
  </si>
  <si>
    <t>33cbbec1e7e1044aaf11d152172c776f</t>
  </si>
  <si>
    <t>07017df32dc5f2f1d2801e579548d620</t>
  </si>
  <si>
    <t>e21a1e8be4715b0fcfd5385643bc49c4</t>
  </si>
  <si>
    <t>2379bdc3888025689a9deb7b141507d5</t>
  </si>
  <si>
    <t>633ecdf879b94b5337cca303328e4a25</t>
  </si>
  <si>
    <t>d1582f4043306e6b91afa6a8a884f898</t>
  </si>
  <si>
    <t>daf565f087a52def0fd5c5825b3661bc</t>
  </si>
  <si>
    <t>9c690ceacd5c66731bf443ea810195cb</t>
  </si>
  <si>
    <t>ddd51ae8cda92f3995a51fc0f0f3eec7</t>
  </si>
  <si>
    <t>7aa538dd6e114e503a2e6154ea352253</t>
  </si>
  <si>
    <t>e0eabded302882513ced4ea3eb0c7059</t>
  </si>
  <si>
    <t>7ecef8194babfec876ca720714327841</t>
  </si>
  <si>
    <t>d9442042130b7fe579d1295f9f4a248f</t>
  </si>
  <si>
    <t>41c9d3997dd3c072c31139dc5bb5761f</t>
  </si>
  <si>
    <t>557f22c76691849db52d2abccf0015d0</t>
  </si>
  <si>
    <t>3c3017960b2dbd72711a61f0400aab8f</t>
  </si>
  <si>
    <t>670a9dda115b5a88b18cfadee8de2332</t>
  </si>
  <si>
    <t>f0e103c63864d5405b958d984b6e94c9</t>
  </si>
  <si>
    <t>91543f9849d68d023e17194926598543</t>
  </si>
  <si>
    <t>7a9c12e235c36247c3c81f50d6ea9cea</t>
  </si>
  <si>
    <t>7d7d2b7a51328016102d4528c411d630</t>
  </si>
  <si>
    <t>6025c79c035c3d772133b8b8238463b2</t>
  </si>
  <si>
    <t>ffad1e7127fb622cb64a900751590acd</t>
  </si>
  <si>
    <t>4221a7df464f1fe2955934e30ff3a5a1</t>
  </si>
  <si>
    <t>ef9952469137ff190bacafe117f51537</t>
  </si>
  <si>
    <t>a13aaf2d2886ab9fb30fb9a920160b8f</t>
  </si>
  <si>
    <t>a0d7fbb07bb5ebc3b05980e750db56f3</t>
  </si>
  <si>
    <t>1f867308a0ce13133a4e639ff4de0c02</t>
  </si>
  <si>
    <t>8e670472e453ba34a379331513d6aab1</t>
  </si>
  <si>
    <t>0e982cff76cc0579f632cea8a0e38c9d</t>
  </si>
  <si>
    <t>cb4a705d00e100b9732d0ca34817d441</t>
  </si>
  <si>
    <t>8602a61d680a10a82cceeeda0d99ea3d</t>
  </si>
  <si>
    <t>010da0602d7774602cd1b3f5fb7b709e</t>
  </si>
  <si>
    <t>dc7192adf8ba09569261f4a8d576afe0</t>
  </si>
  <si>
    <t>5a05a16bb50629ee31afab8a6d4c2674</t>
  </si>
  <si>
    <t>9bc484c87d79cd4874e05ca182658045</t>
  </si>
  <si>
    <t>79a679c36c08d606b3fd47ead9de109b</t>
  </si>
  <si>
    <t>4f1f1c8666cdb6442f775c4e8caed465</t>
  </si>
  <si>
    <t>ae45df84722b1d15c5f32b23a095746c</t>
  </si>
  <si>
    <t>13511db12ac61e2f89c53b72a944a60b</t>
  </si>
  <si>
    <t>c37b2059d4f90d4feead554e5246565e</t>
  </si>
  <si>
    <t>9d681c7e12db302cb261e721040dde65</t>
  </si>
  <si>
    <t>8a43128d7f9a3db592b866e6861a6cce</t>
  </si>
  <si>
    <t>6e4f5ff6b086632ba8dcb558fb10249e</t>
  </si>
  <si>
    <t>b81e3a6c866a764974fe849821abeebd</t>
  </si>
  <si>
    <t>9198786624eaeb375793215cad26cfa6</t>
  </si>
  <si>
    <t>c1ed9e3daf6154542826a6996af0fb8c</t>
  </si>
  <si>
    <t>1bb3812d5f0747a3ab7348f199001a10</t>
  </si>
  <si>
    <t>74636e24f01da9268b0ed88dacd8513e</t>
  </si>
  <si>
    <t>e3a386fc36e22064434e1fa256f6a9fa</t>
  </si>
  <si>
    <t>20b54c376b794ed028df09a3cd88e8dc</t>
  </si>
  <si>
    <t>a67780aba9dd436e7ac0aa1f889e73ec</t>
  </si>
  <si>
    <t>9e9b539eb2806acee3f5c28085c1db9f</t>
  </si>
  <si>
    <t>28872dc528e978a639754bc8c2ce5a4c</t>
  </si>
  <si>
    <t>04fdea0c111866e6cf812f1570d6b5bd</t>
  </si>
  <si>
    <t>caa9bc43a9fe8cf9c564ddd8a03cc4a6</t>
  </si>
  <si>
    <t>e8dba4d70f7f2b20e775d09cae01142d</t>
  </si>
  <si>
    <t>d8cf3b6a2151949f930d0252b180ec42</t>
  </si>
  <si>
    <t>4b1eaadf791bdbbad8c4a35b65236d52</t>
  </si>
  <si>
    <t>0791d9fc1e30678ecf03d3e55fa108d3</t>
  </si>
  <si>
    <t>48985c61529077fa4f1e38bcff0f2ed3</t>
  </si>
  <si>
    <t>3d5d0dc7073a299e31fa718ce1bc00b6</t>
  </si>
  <si>
    <t>a99504ac23ed125aaf5302af6cc30af9</t>
  </si>
  <si>
    <t>0ff83046c3fa22efee8ecf291888b191</t>
  </si>
  <si>
    <t>63a79f5a7eb5cb48a7e5787b141c7993</t>
  </si>
  <si>
    <t>3f9c56764fabca627406093dcb3ef0b4</t>
  </si>
  <si>
    <t>cac63f48c38cd7d002a7e846dcd99a23</t>
  </si>
  <si>
    <t>528bcf6680c36dddf07620bd35b33a6f</t>
  </si>
  <si>
    <t>bd4431c1a8dfa744b59e1e2a8bc99b9e</t>
  </si>
  <si>
    <t>cb6c9f5888a7a090c75beaf615925792</t>
  </si>
  <si>
    <t>1cbd50a8c52e6cf8e315c5709fab386f</t>
  </si>
  <si>
    <t>134a288e7de827ec5ec62e3ec9c3a295</t>
  </si>
  <si>
    <t>f783a638e9c6af4a7d0dbfde811e7a81</t>
  </si>
  <si>
    <t>c6a7539d424a8402232c2228d7a03c5e</t>
  </si>
  <si>
    <t>d4f117125b59ce73c3302f88ee40c458</t>
  </si>
  <si>
    <t>3d621842b2ed28e2b474132480edac3c</t>
  </si>
  <si>
    <t>e51f22821f0c12a16ad5c020cdcd55e9</t>
  </si>
  <si>
    <t>fe1b067411b8c5066e962aa146ccee03</t>
  </si>
  <si>
    <t>0aa2205ca24f113f4658a5c536667426</t>
  </si>
  <si>
    <t>69b5eaa096c3f9d1e5c398c597f567d6</t>
  </si>
  <si>
    <t>d9e7e7778b32987280a6f2cb9a39c57d</t>
  </si>
  <si>
    <t>6f83d9e4da896daae20b9b6b2d3ff8d2</t>
  </si>
  <si>
    <t>b19c48688808720822399ffa9f2dbe2f</t>
  </si>
  <si>
    <t>da6a60cc8cc724fe51be021ff8be779c</t>
  </si>
  <si>
    <t>39c763cca83e654764b7a4a650fb9b7c</t>
  </si>
  <si>
    <t>808d4348b916efa08e766ebad39f61eb</t>
  </si>
  <si>
    <t>160e4f13fd3a64b1b86807be88b5ffb0</t>
  </si>
  <si>
    <t>e9729944ba65dc3ce425e0c5a22ae7b2</t>
  </si>
  <si>
    <t>297d5eccd19fa9a83b2630071ff105e4</t>
  </si>
  <si>
    <t>5c3460cd3e8a984382ae254e7dd20d9f</t>
  </si>
  <si>
    <t>ca77545ca4d2dfd1431bf61334e2fa3c</t>
  </si>
  <si>
    <t>efff9341f3f8f5237b44ff67ed36a7bf</t>
  </si>
  <si>
    <t>41c2bad7229b0c25e6becf179ebf63ff</t>
  </si>
  <si>
    <t>c8025364abeecb115431bf95c11a747f</t>
  </si>
  <si>
    <t>c89cf7c468a48af70aada384e722f9e2</t>
  </si>
  <si>
    <t>b5abf4f36adc043117b4fca82c22984c</t>
  </si>
  <si>
    <t>b45d7ebfb7378630f1bcd74b6ff86ff7</t>
  </si>
  <si>
    <t>562f8cfc51f265411f487d07e9c40e7f</t>
  </si>
  <si>
    <t>e8a85b5f3df47be0984c55fd4064dbb4</t>
  </si>
  <si>
    <t>d0d70d21e2234dd7cd3cf63fe414148a</t>
  </si>
  <si>
    <t>68f86ba270525243e68ae74044f992b9</t>
  </si>
  <si>
    <t>b2c97074649f92197d9387d9033dda5f</t>
  </si>
  <si>
    <t>87d3c3aeb3ead335511b3ce315eb341e</t>
  </si>
  <si>
    <t>ba5daa4041e1f15cdf34b76e3e18a450</t>
  </si>
  <si>
    <t>3492e68f37fd1df87f4f2f2ea247f445</t>
  </si>
  <si>
    <t>17eea220a40cc0d2c0c5346379682398</t>
  </si>
  <si>
    <t>6861de0f40cacb0602e473c51639f980</t>
  </si>
  <si>
    <t>7dc9a3355bae96dd82008b313d3a456c</t>
  </si>
  <si>
    <t>a1544b9ea0b2390e020537d4daa89049</t>
  </si>
  <si>
    <t>6d22a1fcebb6dd08c9cd90b92a93e8d0</t>
  </si>
  <si>
    <t>8a40ae794fa3f9892cee24bd5af0488b</t>
  </si>
  <si>
    <t>6b9b80d53ba3676eafe60268a810b5a1</t>
  </si>
  <si>
    <t>e5cbe890e679490127e9a390b46bbd20</t>
  </si>
  <si>
    <t>725af026f869236a8dd0ceb98564d156</t>
  </si>
  <si>
    <t>2b03ac196f5ed62ac483960fe0fa3b65</t>
  </si>
  <si>
    <t>a72c2f59332659e361d647515c698798</t>
  </si>
  <si>
    <t>0d33a55da925bbf1ff02af5f6059fc7f</t>
  </si>
  <si>
    <t>5a413ade68e8f8d93071a7f52a64cb9e</t>
  </si>
  <si>
    <t>6e864f5c4669eff3d98140a07cc50202</t>
  </si>
  <si>
    <t>eba88037e1dca898cd02881f67ced679</t>
  </si>
  <si>
    <t>52a52b9f656520e99716f5bc40f661c8</t>
  </si>
  <si>
    <t>2c43fb513632d29b3b58df74816f1b06</t>
  </si>
  <si>
    <t>e644cbadf7eeb30d0d29f335ce7d52ec</t>
  </si>
  <si>
    <t>e1c76f339ebd5460999f25a2aa8c92c5</t>
  </si>
  <si>
    <t>11eac105f3f90a9b87b19c89d91e24f3</t>
  </si>
  <si>
    <t>32e5635e63cb374eb63afdd242fb6134</t>
  </si>
  <si>
    <t>75a4764c108403a7a0575140cb22287c</t>
  </si>
  <si>
    <t>1cd9e0cc1839d55516843def5600816d</t>
  </si>
  <si>
    <t>14ee35374a7876217954b5fa08e50463</t>
  </si>
  <si>
    <t>134b867a0f7f8bbe6abf10f91874891e</t>
  </si>
  <si>
    <t>9c7fd21e0aa159b20da593371f08ff7c</t>
  </si>
  <si>
    <t>4deebb3199eeafb282ae33229144f94b</t>
  </si>
  <si>
    <t>a3b42d266fa8afc874b909422ce88582</t>
  </si>
  <si>
    <t>024b564ae893ce8e9bfa02c10a401ece</t>
  </si>
  <si>
    <t>c8cc60ffd415254af5d9b9f34f32c369</t>
  </si>
  <si>
    <t>ba6b4a237f92479743cf0ca06b67a9ac</t>
  </si>
  <si>
    <t>a1bea7061f61f6fdd9a85a6325ba1033</t>
  </si>
  <si>
    <t>1099a00e0ee3a50935e6c2447ca090c5</t>
  </si>
  <si>
    <t>39d61be7a92eb77b7da367bd4845bc0e</t>
  </si>
  <si>
    <t>7c51de0ab286204ce75ff42bf7c10d92</t>
  </si>
  <si>
    <t>4c61e37f664c3c88aff092aa5ac779d7</t>
  </si>
  <si>
    <t>d29ba1220fb8634fa3a107e54497b8a4</t>
  </si>
  <si>
    <t>c00396cbdd2e088fe4281baa5920aef1</t>
  </si>
  <si>
    <t>dc64d75cc406bb0697be983831430e60</t>
  </si>
  <si>
    <t>49383af7ab774e4e8f3000f49c83dc4b</t>
  </si>
  <si>
    <t>4ef4c39cf3c24f326434cf0b2e48046a</t>
  </si>
  <si>
    <t>59cea8e446d3834393058e7e0666b6fb</t>
  </si>
  <si>
    <t>b16d3dadc47d4eb18be3d88bad0775ce</t>
  </si>
  <si>
    <t>28ea411b354f14b1a494be4e79f0ce02</t>
  </si>
  <si>
    <t>365e4bce19bda0082c3d15d83fdb8bcd</t>
  </si>
  <si>
    <t>ef30892870c278497523264be1be2241</t>
  </si>
  <si>
    <t>0d4c8269e7f0401201794deef160edd6</t>
  </si>
  <si>
    <t>253f95b3a0e6983ae18aed49fbc2b845</t>
  </si>
  <si>
    <t>07de60b03d150fb3ea09eab5da5e4c8b</t>
  </si>
  <si>
    <t>1430239a858e7682bbc43b20758af153</t>
  </si>
  <si>
    <t>5acd070dd3fe441bbb2ec1f1ede515ee</t>
  </si>
  <si>
    <t>9485a23c0430ba1d58d359391606fce6</t>
  </si>
  <si>
    <t>5f06030071324cc52bf0304014ac7234</t>
  </si>
  <si>
    <t>fd435faa3c0422b60440ea3480d0e77c</t>
  </si>
  <si>
    <t>5996cddab893a4652a15592fb58ab8db</t>
  </si>
  <si>
    <t>f435898e493ba0356019a0b1cb8b55b1</t>
  </si>
  <si>
    <t>cd3d09fbe6e3e9ff0c0ac0c300e93ae7</t>
  </si>
  <si>
    <t>80f2cf9abf6b5a0e5c612b5eea6646e6</t>
  </si>
  <si>
    <t>014d9a685fd57276679edd00e07089e5</t>
  </si>
  <si>
    <t>81783131d2a97c8d44d406a4be81b5d9</t>
  </si>
  <si>
    <t>ba6ce6de456f6c11d08c17701ba5c26f</t>
  </si>
  <si>
    <t>7210cd29727d674c00741e5e387b3ccd</t>
  </si>
  <si>
    <t>e560e4022d8f7aebf155db95946c5c0f</t>
  </si>
  <si>
    <t>70bf57d811208f8923b41bbd499a67a4</t>
  </si>
  <si>
    <t>c6218512d16fcac0af02fe92691cf274</t>
  </si>
  <si>
    <t>8b87cd0d43d49b9bdf40f56229364d59</t>
  </si>
  <si>
    <t>05a940b4ecae36cadfd8e93bd9c43257</t>
  </si>
  <si>
    <t>458c6fa920810ce2492da71bc26d9eec</t>
  </si>
  <si>
    <t>fe1bbc5feda5c8979a8a1b3b2512d5a6</t>
  </si>
  <si>
    <t>9aa388272ee334b6ae07bc73706e254a</t>
  </si>
  <si>
    <t>aac51c486b672a9850d59f3e84b1cf88</t>
  </si>
  <si>
    <t>52956b80ae65fda598f06f6b9943e7a9</t>
  </si>
  <si>
    <t>3d68c634a99a1ba46dbca3967a69c623</t>
  </si>
  <si>
    <t>6b15924333bd1a741595fe981ea04822</t>
  </si>
  <si>
    <t>89a51f50b8095ea78d5768f34c13a76f</t>
  </si>
  <si>
    <t>bdae679a9b282249bc23b9b69dae9a99</t>
  </si>
  <si>
    <t>ac6417315ae5da8f9a38ee11de6f7780</t>
  </si>
  <si>
    <t>3969863bb8af7f72580b3b1ffd3a17b3</t>
  </si>
  <si>
    <t>4a1917ef994878940e1fb03eeb787ad7</t>
  </si>
  <si>
    <t>be8e909810184b9b19e886129149d8e5</t>
  </si>
  <si>
    <t>a2deecd5398f5df4987110c80a1972a3</t>
  </si>
  <si>
    <t>6bb62a4912377c7bfe7cb17b406bc7e6</t>
  </si>
  <si>
    <t>9dc79dd988ac42f4d56c340d7048420a</t>
  </si>
  <si>
    <t>da03c298e3999e9d828591fc2179d109</t>
  </si>
  <si>
    <t>21c62b998a043ebe31161d38f84929fc</t>
  </si>
  <si>
    <t>2ba91c7ad80ff88b23b7db823b43c233</t>
  </si>
  <si>
    <t>e73bf2cea7fe4b0b4d287a7568ed1099</t>
  </si>
  <si>
    <t>236585a4ddb5fea9fa40233e2249ed91</t>
  </si>
  <si>
    <t>851773c885feb5e2da3b4f82bc2b17ce</t>
  </si>
  <si>
    <t>7354220fb240bde543b3c40c060d41e7</t>
  </si>
  <si>
    <t>43402bdf22aa2310e8f99e2f94f78628</t>
  </si>
  <si>
    <t>5f7300535881cef3b625fd683cf7d145</t>
  </si>
  <si>
    <t>6524b847b982cd56bb5d4b02b776ee42</t>
  </si>
  <si>
    <t>f9eedec3129e8cc6b6429c42d0808c5b</t>
  </si>
  <si>
    <t>ba6b68b55fe8704377a7d43c8e5c0185</t>
  </si>
  <si>
    <t>2305ab43e846518f58dd9d59f3f54e96</t>
  </si>
  <si>
    <t>11742f81550ac064cc9a40f67151d9ad</t>
  </si>
  <si>
    <t>ad273c9eb54ecb4532de4bf75bae9e4e</t>
  </si>
  <si>
    <t>de09d00cfc265b8804c7df34075a68fa</t>
  </si>
  <si>
    <t>55c26bcb609f480eb7868594245febb5</t>
  </si>
  <si>
    <t>bd1d49a326abfa9b1036772e40445430</t>
  </si>
  <si>
    <t>a56e351445e5863fc8960640ba9190c7</t>
  </si>
  <si>
    <t>c7fdb77fdbff3c41981bc52f787e959e</t>
  </si>
  <si>
    <t>94231344608e603693b0a8891143f65d</t>
  </si>
  <si>
    <t>5ef131ac72773e5b3f6c0d63cf424657</t>
  </si>
  <si>
    <t>13f57c12a00ed4610db646b913a7f5c6</t>
  </si>
  <si>
    <t>0d83f8e03188682112cc0d93523705cc</t>
  </si>
  <si>
    <t>2063dd1b9f568df1c16741ea7d3e6adb</t>
  </si>
  <si>
    <t>9535a841eecebed61a9fb1ac1cbb5597</t>
  </si>
  <si>
    <t>8d46553a36e68f95350a200c12f8f2e2</t>
  </si>
  <si>
    <t>ed8cb7b190ceb6067227478e48cf8dde</t>
  </si>
  <si>
    <t>8e29d051f810eb22959ede205b462b9f</t>
  </si>
  <si>
    <t>191d55f7edb8524d525ed01b20fe32e8</t>
  </si>
  <si>
    <t>a254c682cc01e119f83530446f1df9a9</t>
  </si>
  <si>
    <t>0a85ebe4e328db81ac9109781205e2f7</t>
  </si>
  <si>
    <t>638cba8be1fb599bbb76fd6948351eb3</t>
  </si>
  <si>
    <t>38e6dada03429a47197d5d584d793b41</t>
  </si>
  <si>
    <t>d79e8478eed9999493990b44955fb22e</t>
  </si>
  <si>
    <t>fac35d150712afb921ec59ac5f39bb11</t>
  </si>
  <si>
    <t>179d859f51292aac5c10806a356f7af9</t>
  </si>
  <si>
    <t>8d899e15a5925f097cca50faa49b15e3</t>
  </si>
  <si>
    <t>8759e7aedd644f487315e5860962f162</t>
  </si>
  <si>
    <t>56db5c0782e8f7ddc9343f9576ff6d16</t>
  </si>
  <si>
    <t>6cf476a4ca74498db55cbccdaa9dcfb6</t>
  </si>
  <si>
    <t>2059c39f76271d4ca3f15b5ffaccc8b8</t>
  </si>
  <si>
    <t>1d29dfba02015238dfbe2449a5eaa361</t>
  </si>
  <si>
    <t>cf654707ed6a99f112c7ec3d6f314b8b</t>
  </si>
  <si>
    <t>b7ed9fb14c8eadb37adb9c45d67ab0fb</t>
  </si>
  <si>
    <t>e4ebd3f87bf70440014f07ddda7fbe03</t>
  </si>
  <si>
    <t>8c91bfea4263b8fba54081460693e2a1</t>
  </si>
  <si>
    <t>5bba18b40e8c973b0f32e748004775b0</t>
  </si>
  <si>
    <t>e6a69c4a27dfdd98ffe5aa757ad744bc</t>
  </si>
  <si>
    <t>6824a69c9ea0313eba299dd4a2dba09a</t>
  </si>
  <si>
    <t>0b36063d5818f81ccb94b54adfaebbf5</t>
  </si>
  <si>
    <t>d558ebe531605a1285ab2b1bc3256dfb</t>
  </si>
  <si>
    <t>2aa3443d7bf9d9bb11133f420d75e083</t>
  </si>
  <si>
    <t>b4b447d715f9ab302a188fb43d3e96b3</t>
  </si>
  <si>
    <t>6e1862e15f33d9994bc25922a85e1efc</t>
  </si>
  <si>
    <t>7b98de631987e26dd6d803490c43a13c</t>
  </si>
  <si>
    <t>c447f8dd3ed213f291d65ef074a268eb</t>
  </si>
  <si>
    <t>b64d51f0435e884e8de603b1655155ae</t>
  </si>
  <si>
    <t>54aa8463e87776b5612f4bdc4bd5d4de</t>
  </si>
  <si>
    <t>26af45f5dfd967225a832838aa4e24a3</t>
  </si>
  <si>
    <t>b0398568231ba5e6734af1881671a317</t>
  </si>
  <si>
    <t>228e4c1a0be164f613d41c24345f9d2c</t>
  </si>
  <si>
    <t>f3295428338a40977a03f555246a70f4</t>
  </si>
  <si>
    <t>768a86e36ad6aae3d03ee3c6433d61df</t>
  </si>
  <si>
    <t>61c36f0fc4a47f9532e5512b66668e62</t>
  </si>
  <si>
    <t>2dd1fb6f0e42a2243b8a01e40cd41216</t>
  </si>
  <si>
    <t>5962468f885ea01a1b6a97a218797b0a</t>
  </si>
  <si>
    <t>9cad4b68bb993ee401a3c5aaa2bc26dd</t>
  </si>
  <si>
    <t>9d5604a1f112324ad6b2aa552122e0fb</t>
  </si>
  <si>
    <t>2fb25ab44bdbeae6a4d816e0d0c9d500</t>
  </si>
  <si>
    <t>72c38a04bd6a1c3dbc5298425a0db86d</t>
  </si>
  <si>
    <t>07d75e33f2750d97d467fb57e4dfdd8a</t>
  </si>
  <si>
    <t>ac51cac5e20d69ff485a54746488ef48</t>
  </si>
  <si>
    <t>01c97ebb5cdac52891c0ed1c37ba0012</t>
  </si>
  <si>
    <t>acf974e4d5950ad143a247471b831eb9</t>
  </si>
  <si>
    <t>6c99c983ce3b6ba0ab813e6790e81691</t>
  </si>
  <si>
    <t>2f09f7d37a97956d11cc1a7cadd5262b</t>
  </si>
  <si>
    <t>0570350b23eda5444f8d1d9544932058</t>
  </si>
  <si>
    <t>3d3ccf2b2f8134b10dce9dd446f0e075</t>
  </si>
  <si>
    <t>6e0908ef4d4efadbc3cc2b74ea477cb0</t>
  </si>
  <si>
    <t>262237171f48e85819065498cac80d7b</t>
  </si>
  <si>
    <t>02b72cdeb9cfcc429f1af6f4e3f3b737</t>
  </si>
  <si>
    <t>916748bc99315c2d202898ae58b1617e</t>
  </si>
  <si>
    <t>95b293867b5862941c9cd74f756a3c68</t>
  </si>
  <si>
    <t>26bad72add1f86e08a776ce4ffdaf1ca</t>
  </si>
  <si>
    <t>aae5e7b457a3c72ee230a47d98fceda5</t>
  </si>
  <si>
    <t>d9cd369bffa979d1634f8e1318bf2f1b</t>
  </si>
  <si>
    <t>f52c2422904463fdd7741f99045fecb6</t>
  </si>
  <si>
    <t>3ef37b7ca6dd2b80bd8af81a62504996</t>
  </si>
  <si>
    <t>4e6015589b781adaa5ce7f1892d06bb1</t>
  </si>
  <si>
    <t>c522be04e020c1e7b79f3acff36513d5</t>
  </si>
  <si>
    <t>6d988d6174a2c27441597174f8905515</t>
  </si>
  <si>
    <t>11938fcc75f6902fea1d0a6f72b54a57</t>
  </si>
  <si>
    <t>ab3e0c171fe84a7ba7de130f19cfb485</t>
  </si>
  <si>
    <t>328acb143b4a73aad6bee8e734f5d20d</t>
  </si>
  <si>
    <t>b274baf5bbd142410eb2958cf685d684</t>
  </si>
  <si>
    <t>be3b4b0f050a6aa1b2d901c4b77e979f</t>
  </si>
  <si>
    <t>39a5005f2605cbdb4f9ac14485cabfd1</t>
  </si>
  <si>
    <t>8a207b6080964f3c1fc9d35bd6096ba4</t>
  </si>
  <si>
    <t>052577151711aec5c744fe12e66db3e1</t>
  </si>
  <si>
    <t>eb5b6204dde3a6e03b5f1bb8479f055b</t>
  </si>
  <si>
    <t>38102b031c2a15e54623d711bfc753d3</t>
  </si>
  <si>
    <t>b12cfd255810394b60caef18ae163547</t>
  </si>
  <si>
    <t>2f74af7a0ee5636f12c2336f9fffed47</t>
  </si>
  <si>
    <t>bfd938b22bc99bce1ae60dc602889f52</t>
  </si>
  <si>
    <t>68ca56ce86830f3d31b1b7ec6a54da3e</t>
  </si>
  <si>
    <t>c157bdeedcbc9a8e3c8bf0d87ff24428</t>
  </si>
  <si>
    <t>1d503743d2526f03f0c2c89540ee008c</t>
  </si>
  <si>
    <t>525e75a6fb1454a2325ab1734bcec221</t>
  </si>
  <si>
    <t>9c1c0c36cd23c20897e473901a8fb149</t>
  </si>
  <si>
    <t>1b4b28463457a256e9a784ebe2a8f630</t>
  </si>
  <si>
    <t>5d043cd5512d4bd2f88e5ccdd5736c38</t>
  </si>
  <si>
    <t>5a6a02f419701fc8c605af71d4fc57a4</t>
  </si>
  <si>
    <t>a513150f33f99a06569e9cd5c4bb889b</t>
  </si>
  <si>
    <t>8c0de775f52fe41590b376a3b7c50f68</t>
  </si>
  <si>
    <t>cb9fb4ca75d7ba8437480e8dde64fe98</t>
  </si>
  <si>
    <t>4de6e4ba574aa9dfdc824bc44dc47fdd</t>
  </si>
  <si>
    <t>e601b04acf48b4576e73ddca9481f0dc</t>
  </si>
  <si>
    <t>3f9be91358837bff69df67edfa3e42e8</t>
  </si>
  <si>
    <t>c84592044b180dec206770c38603814b</t>
  </si>
  <si>
    <t>8a87611c08849ffeeccab52aa798b6c7</t>
  </si>
  <si>
    <t>d94ba08b99bedd6a5f6c875ecc4a6fac</t>
  </si>
  <si>
    <t>7a91bf945c6fae0779f1c61ce97fe45c</t>
  </si>
  <si>
    <t>89ad3263c0931c47f976d7c5778e60f6</t>
  </si>
  <si>
    <t>b44dbfbf62e52125f3c15d230569ea91</t>
  </si>
  <si>
    <t>1961c3e1272bfeceb05d0b78b5bbfdaf</t>
  </si>
  <si>
    <t>6e4a902d1054e4e17aa6eab87fac1c75</t>
  </si>
  <si>
    <t>c53bcd3be457a342a97e39e5a9f0be22</t>
  </si>
  <si>
    <t>b26741d31a563d769b4af0465ab20c56</t>
  </si>
  <si>
    <t>af7cdac9d9897cddead9c6b08976c642</t>
  </si>
  <si>
    <t>c458e2045a8aa8964f8879af03fdcce6</t>
  </si>
  <si>
    <t>4be6b962d83299498bae2190f95d6566</t>
  </si>
  <si>
    <t>270d3ef21830ad0ecf3a6c53d08a533a</t>
  </si>
  <si>
    <t>3be5841cdcc46de4ed3f9116f104b2c5</t>
  </si>
  <si>
    <t>c33a5c3c983090c8b78a28e65052a20d</t>
  </si>
  <si>
    <t>70b52a4cfc823994561b00bad161b4ed</t>
  </si>
  <si>
    <t>26d6bbee02420494d471c9f6436929c0</t>
  </si>
  <si>
    <t>48fb026ed7455a42f5d3e9390ed5088e</t>
  </si>
  <si>
    <t>3968920b9aa752ab98f7d5888c9252f2</t>
  </si>
  <si>
    <t>c52c644cc0dc85121207a27013efc6af</t>
  </si>
  <si>
    <t>6879c4d287a8dd06b11f54ea8f78e4da</t>
  </si>
  <si>
    <t>6eeed17989b0ae47c9f11ece6f38ea90</t>
  </si>
  <si>
    <t>53336f97ddbe53e2a617d07b17447b95</t>
  </si>
  <si>
    <t>83353a83fd769dfafa4f21a72b15e3e5</t>
  </si>
  <si>
    <t>71271995e85f5b8530be99ed54a91b89</t>
  </si>
  <si>
    <t>eddd1991bd6d9309995a480c39b95137</t>
  </si>
  <si>
    <t>685b870da5b52a710782c9c0fefbeb5b</t>
  </si>
  <si>
    <t>ff4e2d38692ce827b1a4f4b8196e680d</t>
  </si>
  <si>
    <t>48efc9d94a9834137efd9ea76b065a38</t>
  </si>
  <si>
    <t>bf961104a38e01b9062ee026bb657dee</t>
  </si>
  <si>
    <t>63ffcb71394dd8ea3872ed9ffda17c74</t>
  </si>
  <si>
    <t>768de2a4fc06aacecb9a586ccc30746a</t>
  </si>
  <si>
    <t>4170f6a9367e6b5d6401d03ce6d54569</t>
  </si>
  <si>
    <t>b5bb2b985208834bd5bd86c7a402bbad</t>
  </si>
  <si>
    <t>c7a0a13cbcf29d5ce51c8f80afdc0b89</t>
  </si>
  <si>
    <t>4e326052e5dbba8adcd512f3450a307e</t>
  </si>
  <si>
    <t>73b8eb4a9a729d4019b24ed1be748cbf</t>
  </si>
  <si>
    <t>9e6967d3cf386d284251784b18ccb485</t>
  </si>
  <si>
    <t>f5b44895715ddfe3087dc414f30268f3</t>
  </si>
  <si>
    <t>13c2ed7698b3ca92dad49e849219da59</t>
  </si>
  <si>
    <t>bbaff50f3b708fda865918715276cd87</t>
  </si>
  <si>
    <t>3ea00e1dea2b0659dbaf654735929220</t>
  </si>
  <si>
    <t>a35ef466c6fd6d052f5d241240d3c5e2</t>
  </si>
  <si>
    <t>7c1fea10b5b006671d608b1d7c446ec4</t>
  </si>
  <si>
    <t>2e7ea2aafec5835e781b21d6d1faf1f1</t>
  </si>
  <si>
    <t>1588ac4010787100dddef64568f0ae35</t>
  </si>
  <si>
    <t>bb2afe2061d53c6968aa0cffa233a8ec</t>
  </si>
  <si>
    <t>8b2d4ab22f42c5cfc338b846decfda60</t>
  </si>
  <si>
    <t>c3aad7dc65449ae90a5e9c3c6c1e78e0</t>
  </si>
  <si>
    <t>1fe61aa5494bd3ae92a2c13e067c810f</t>
  </si>
  <si>
    <t>f9ec7093df3a7b346b7bcf7864069ca3</t>
  </si>
  <si>
    <t>8bd0e3abda539b9479c4b44a691be1ec</t>
  </si>
  <si>
    <t>74871d19219c7d518d0090283e03c137</t>
  </si>
  <si>
    <t>b87a7ea0c30fad2dd6781b74a0064859</t>
  </si>
  <si>
    <t>1f7fd2a6fcd5a6fa5d8a4dabc72aaae0</t>
  </si>
  <si>
    <t>2953ce3a88f5e3c3b696d77fc9e4c8eb</t>
  </si>
  <si>
    <t>d197aa8fbc64087f61984deef05f6227</t>
  </si>
  <si>
    <t>89bc797e2e29667aa035d4368f9b7f92</t>
  </si>
  <si>
    <t>9599519be538b98748162a2b48248960</t>
  </si>
  <si>
    <t>b0b346d3a89f5eb4c2968af3f083cd43</t>
  </si>
  <si>
    <t>70125af26c2d6d4ef401a1d02ae7701f</t>
  </si>
  <si>
    <t>6c17baf138731a4aaacc3210adf2037b</t>
  </si>
  <si>
    <t>c42fd8e4d47dfb18ce5222f2dd7752f9</t>
  </si>
  <si>
    <t>5f5a58930c3c35f3b5af264f34fb8c85</t>
  </si>
  <si>
    <t>385799a1cddbd26dfeb9157356a42282</t>
  </si>
  <si>
    <t>d4e4b5192cba4e0e66eb12a9d347239d</t>
  </si>
  <si>
    <t>cd2169d9f31ff6fbb9ca3373b0c9e354</t>
  </si>
  <si>
    <t>3d0cd21d41671c46f82cd11176bf7277</t>
  </si>
  <si>
    <t>7b7f91e98f8c6def45a1407923304402</t>
  </si>
  <si>
    <t>d7485b33791774c36108f8c69602d48d</t>
  </si>
  <si>
    <t>32fdd5d44ecb43dfd6a24b9369eca144</t>
  </si>
  <si>
    <t>33cbda8716511e27e556dff9d8418bf2</t>
  </si>
  <si>
    <t>312ba1d77e9c332ef21f9598b7f64cd7</t>
  </si>
  <si>
    <t>4a82168aaef173cbb6e46ae88728f919</t>
  </si>
  <si>
    <t>eb9cd5b35d95206585e2185318cb5c61</t>
  </si>
  <si>
    <t>f524ad65d7e0f1daab730ef2d2e86196</t>
  </si>
  <si>
    <t>b248792ac0b60ec3f93d80af1b4fae47</t>
  </si>
  <si>
    <t>fc59392d66ef99377e50356ee4f3b4e1</t>
  </si>
  <si>
    <t>a06c8ff043abea0528ee44171e2140a2</t>
  </si>
  <si>
    <t>08084d990eb3f53af056ccbc1730c8a7</t>
  </si>
  <si>
    <t>35b96509602ec4b7da831b5cd73ff2c2</t>
  </si>
  <si>
    <t>08d1c9478fb0d7d7fcac9c0da4e82fc7</t>
  </si>
  <si>
    <t>bc503e244f187939d10c92a5c8e378ce</t>
  </si>
  <si>
    <t>e1b12447a7563944843191754aeb5562</t>
  </si>
  <si>
    <t>97e995629983723d11830a829bc2b246</t>
  </si>
  <si>
    <t>6e13dd869aa7185f601c941423abcc8f</t>
  </si>
  <si>
    <t>e3dd723429d1b23614b7fa85e2c7a853</t>
  </si>
  <si>
    <t>7994b065a7ffb14e71c6312cf87b9de2</t>
  </si>
  <si>
    <t>e433f5fd4050e3352b5d83522b7fe24b</t>
  </si>
  <si>
    <t>20a7efa9721046319bdde5d60b6b5365</t>
  </si>
  <si>
    <t>ccbd753e6863fe7314dc6c0ca5a074e7</t>
  </si>
  <si>
    <t>bd15ee794d5e640d9dd71b665b2ab15b</t>
  </si>
  <si>
    <t>ce616e1913288884e7742faac9d981db</t>
  </si>
  <si>
    <t>651fe66032c9520ee5587f694908040d</t>
  </si>
  <si>
    <t>b7cc6c5e001441ae8cdd5c69a480cbe4</t>
  </si>
  <si>
    <t>55029529919c0123526150bd26ca8f20</t>
  </si>
  <si>
    <t>35fb511489d9ee3ee27a76debce9df06</t>
  </si>
  <si>
    <t>7402d13c03a7e91366337cd1de471144</t>
  </si>
  <si>
    <t>2009a095de2a2a41626f6c6d7722678d</t>
  </si>
  <si>
    <t>e59e489e2ea74bd409b798b5daf49de3</t>
  </si>
  <si>
    <t>0951a6e282947e09cd47969f4ed0b47f</t>
  </si>
  <si>
    <t>7e79d65b5c6f1f544b7daea036acf720</t>
  </si>
  <si>
    <t>820c7c9eaf76d2b226b6c242bcf3f34d</t>
  </si>
  <si>
    <t>3d4824f20035949c710eaf111f869d39</t>
  </si>
  <si>
    <t>acb6c2ca5c82411c1fdb88d5fd5eb95e</t>
  </si>
  <si>
    <t>2493dc3f20131696a0ecdb9948051a8d</t>
  </si>
  <si>
    <t>f22a247b79dd22ecd91dc8e3b2a1b07c</t>
  </si>
  <si>
    <t>25be943a321c8938947bdaabca979a90</t>
  </si>
  <si>
    <t>4e480be820e37de1444325ff358c9296</t>
  </si>
  <si>
    <t>35857757f553273b1056c1cabdace7fb</t>
  </si>
  <si>
    <t>b9c0ffa92f3ff9a5a3d45ef7213c0842</t>
  </si>
  <si>
    <t>979e9f8b5b39dd243a2550c8b05aecf0</t>
  </si>
  <si>
    <t>9fc70243fb26800cba56e8f014797004</t>
  </si>
  <si>
    <t>4cc4fd4fdd406a85bbdc1f824b731bd7</t>
  </si>
  <si>
    <t>2b2fed75b8e5ea3a052fc4c0825da485</t>
  </si>
  <si>
    <t>fadb07c842a2aef5d5a676b85f220e71</t>
  </si>
  <si>
    <t>ff314fa6033cc68ec451c47aee2d6ba4</t>
  </si>
  <si>
    <t>b3f19518fcec265b2e97af287725f981</t>
  </si>
  <si>
    <t>59cd88080b93f3c18508673122d26169</t>
  </si>
  <si>
    <t>b080809eaacb49e5ca07290981472431</t>
  </si>
  <si>
    <t>0c7f30ae9b147eca07affbef92832a6a</t>
  </si>
  <si>
    <t>64cc804291f90c81f02bfc2bb58ff55a</t>
  </si>
  <si>
    <t>a8739afb32aaa45e01815ca76f76f54b</t>
  </si>
  <si>
    <t>4342d4b2ba6b161468c63a7e7cfce593</t>
  </si>
  <si>
    <t>09bad886111255c5b5030314fc7f1a4a</t>
  </si>
  <si>
    <t>5e49e3a44bdeb5aab2684258bbd4f525</t>
  </si>
  <si>
    <t>bac692d6c0ed08467878018e6cc9c26c</t>
  </si>
  <si>
    <t>29e6e05b65f93bc224c644319dc52ecf</t>
  </si>
  <si>
    <t>f1198c871e0171278b63f40d112caeec</t>
  </si>
  <si>
    <t>ea00f977a203ff88adf7057cb7806998</t>
  </si>
  <si>
    <t>038b75b729c8a9a04b0d07cba7eabe86</t>
  </si>
  <si>
    <t>08d0949a9a17c027262db1f3c450c26c</t>
  </si>
  <si>
    <t>c026ef0d72e9132d9fa112308090c8dc</t>
  </si>
  <si>
    <t>48e954b2da4f6a750c844173b347ed40</t>
  </si>
  <si>
    <t>c1f12f926d0ba950578b4fa41115cbb6</t>
  </si>
  <si>
    <t>bd149ed516d4c5d418d5781f8e18919f</t>
  </si>
  <si>
    <t>a7dc4098e4da6e41b426269d12ae7e91</t>
  </si>
  <si>
    <t>0ddefe3c7a032b91f4e25b9c3a08fca1</t>
  </si>
  <si>
    <t>b6dc74ed30f124f95227bed4e43a3bed</t>
  </si>
  <si>
    <t>404e1ba01358af4cd63f679b2c4d1fa1</t>
  </si>
  <si>
    <t>7bcd7c5f8631701474db233ccf1c094b</t>
  </si>
  <si>
    <t>86ff3eaef0267069cc891a2ed9d10a17</t>
  </si>
  <si>
    <t>4049512728d969bec69f84088b012416</t>
  </si>
  <si>
    <t>5dc203c7b84a0e71e878a179de05fb9a</t>
  </si>
  <si>
    <t>8fec2e460530482132c436cfb5439925</t>
  </si>
  <si>
    <t>fcba71d4d5db057f43249145e4eb1e27</t>
  </si>
  <si>
    <t>ed9eef5be0992d413d251fadba1a410d</t>
  </si>
  <si>
    <t>265fdc289dffa9f1ad801c74f7d0de47</t>
  </si>
  <si>
    <t>3296662b1331dea51e744505065ae889</t>
  </si>
  <si>
    <t>a53f60f05f822b5c621a50ff6a5cb362</t>
  </si>
  <si>
    <t>a2fa0bdc798ee84cdb08281337cf4fb6</t>
  </si>
  <si>
    <t>a5bff0f43eb51f0cad7c37fac7244c8a</t>
  </si>
  <si>
    <t>f88adb15807168d3c43d71021090ce4a</t>
  </si>
  <si>
    <t>079d295dcbf06ee8bb1b65ba964eb2b6</t>
  </si>
  <si>
    <t>2c3d56f92f360fb89d849b84e8f50eae</t>
  </si>
  <si>
    <t>117cfc326c6d50da67ca858ff5c0c852</t>
  </si>
  <si>
    <t>b29d3380981c51df13fc6fbe87e1763d</t>
  </si>
  <si>
    <t>e5899683388855d3dabe8913bbe365de</t>
  </si>
  <si>
    <t>0249d282d911d23cb8b869ab49c99f53</t>
  </si>
  <si>
    <t>20a8b0dc55da94fe74d112082427c84f</t>
  </si>
  <si>
    <t>6b803197e03abd5056b4313306b4f29d</t>
  </si>
  <si>
    <t>feb793c88d836c3a75efa4b5a3465d70</t>
  </si>
  <si>
    <t>83a75eea11694e36e56dd0cb2240229a</t>
  </si>
  <si>
    <t>ff1e15b778c700abdd4d239b81ac466d</t>
  </si>
  <si>
    <t>777a0c55737f34ffeb78010f7542ab41</t>
  </si>
  <si>
    <t>ead2bab70821ea148476ae9bc08548ac</t>
  </si>
  <si>
    <t>340636a908b13bbe0f4fb63fbe1d0c03</t>
  </si>
  <si>
    <t>101a3a003516bc11253298b2fad3cb65</t>
  </si>
  <si>
    <t>08f5819815f3d06545011850bd70f0a8</t>
  </si>
  <si>
    <t>968ee78631915a63fef426d6733d7422</t>
  </si>
  <si>
    <t>ee2fbacc2fc3794e656cc4d933d59ce7</t>
  </si>
  <si>
    <t>35ef5aa32949680f627efec3c23e705c</t>
  </si>
  <si>
    <t>d90fe2229fee1a5da999ccd0c06c1667</t>
  </si>
  <si>
    <t>3985a3c45be355a4c57fde108bfabd1c</t>
  </si>
  <si>
    <t>c3f5668699a1b04c0fa61ecea1e2bff6</t>
  </si>
  <si>
    <t>761681a821d8275bc79f552116d06869</t>
  </si>
  <si>
    <t>41b14765bd56c8ad10971074380f9c0c</t>
  </si>
  <si>
    <t>5c853bb56f70f4d14218944bae111d7a</t>
  </si>
  <si>
    <t>29fe9f200d3fa0c668d2aa1ec7e08dfb</t>
  </si>
  <si>
    <t>c3251e13f1bbda6c74e37c160f991e19</t>
  </si>
  <si>
    <t>7816cd9c5b1238e320545f5bf7eb80e8</t>
  </si>
  <si>
    <t>b1204cfda1d4948679db3cfc0d3cb95c</t>
  </si>
  <si>
    <t>cc80e2f693fa6e2408f47ccf62413fc1</t>
  </si>
  <si>
    <t>9dd59e43f0c9f0553244e8f9c2fb247e</t>
  </si>
  <si>
    <t>cb0b3bcf14e0a709df412a99424a59d7</t>
  </si>
  <si>
    <t>f4ce8ca9fa7157e3b33f536ac9a4487d</t>
  </si>
  <si>
    <t>0747d5bb69f0586cc869d8af4c50f93e</t>
  </si>
  <si>
    <t>85cc55e048b6bcc90c75afe7f0e72f72</t>
  </si>
  <si>
    <t>89de2d6f23e9746ff309705b23581faa</t>
  </si>
  <si>
    <t>7c4618c82226628831613e95e9c22f44</t>
  </si>
  <si>
    <t>0fe2d9733ed841eb064503920015a8c0</t>
  </si>
  <si>
    <t>ce20a2ec1514c25e16f2b5b39bc818f0</t>
  </si>
  <si>
    <t>41e0fa5761c886a630994a55c12087e7</t>
  </si>
  <si>
    <t>c714262700f93defc16bf17a51a4cb23</t>
  </si>
  <si>
    <t>c24173065483e421f9e5e7f599de101d</t>
  </si>
  <si>
    <t>98115075dd26cb8835946fc6086f5d30</t>
  </si>
  <si>
    <t>a35124e2d763d7ca3fbe3b97d143200f</t>
  </si>
  <si>
    <t>939e6227d6964a11a70aa91243e418f2</t>
  </si>
  <si>
    <t>92d14edfb62ee5ae7fdff70b0f4e7233</t>
  </si>
  <si>
    <t>f650a9708fa1bab22bdd8d3a818cc415</t>
  </si>
  <si>
    <t>dd88d13bea9e4c2bf47daf224f8141e5</t>
  </si>
  <si>
    <t>ae8bfdbf1c2a2a2dee92d799db0a31c6</t>
  </si>
  <si>
    <t>ab27bbbad5239bc31a34709275a70db4</t>
  </si>
  <si>
    <t>0a82f5fb06a4fe4ac2cf7cb412ec71b8</t>
  </si>
  <si>
    <t>e546117ed9cafbc40239c0c78635c584</t>
  </si>
  <si>
    <t>e53d5b9b29d1218281f4a907ada18626</t>
  </si>
  <si>
    <t>3076499bbc033a927bf4a8a41bcf7fd4</t>
  </si>
  <si>
    <t>bc30de0d71bd6260b936a026b5cf7200</t>
  </si>
  <si>
    <t>64c9a1db4e73e19aaafd3286dc448c96</t>
  </si>
  <si>
    <t>189ca3538ce9f920cacf0f982cbe223b</t>
  </si>
  <si>
    <t>dc50afafdfa325eadc890c7fa42a8f4e</t>
  </si>
  <si>
    <t>0f0c984a4a955310903b6b6008660bad</t>
  </si>
  <si>
    <t>392353362d22cc2c236e1ee81ff19890</t>
  </si>
  <si>
    <t>5275ca25d0358ca73864e0ae41be1320</t>
  </si>
  <si>
    <t>042573af89b6d931f672efaf789d8358</t>
  </si>
  <si>
    <t>2bf28e311bba65237358230cabac3f15</t>
  </si>
  <si>
    <t>6d7f8d9d594e28796b6b3205b00f459c</t>
  </si>
  <si>
    <t>a11a0e0ca67423425691db355cff69b0</t>
  </si>
  <si>
    <t>aec99834ab5d38ead22766ada8497e87</t>
  </si>
  <si>
    <t>a21c11ec5c3f03e7cc9f9203bff9e1c6</t>
  </si>
  <si>
    <t>ffff564a4f9085cd26170f4732393726</t>
  </si>
  <si>
    <t>6d2f2e3b539480db1e0842b3a4e32e6e</t>
  </si>
  <si>
    <t>34a557286ead8fe75c989e0afcf7d98c</t>
  </si>
  <si>
    <t>b56828a9f9027f3c918c04ca720d9e3c</t>
  </si>
  <si>
    <t>fc4751cfe3b279c419615b9b00c1abb4</t>
  </si>
  <si>
    <t>de66a66f2dd06bb9ec37aa96987466a3</t>
  </si>
  <si>
    <t>1e9d5a33694bddb76316fd1f54734d20</t>
  </si>
  <si>
    <t>f5fea3ffed6c2e889bab72705557c63a</t>
  </si>
  <si>
    <t>5e106d93b717c2682b9383da480364a1</t>
  </si>
  <si>
    <t>4dbd95a08b31ede5c82d3f861cb1ce1a</t>
  </si>
  <si>
    <t>f12d3c2a14729ae461b920c11fe20fdc</t>
  </si>
  <si>
    <t>1acde099eb406aa220b1169b188b42da</t>
  </si>
  <si>
    <t>57d2ba47f7a3209aa347532ae75c1165</t>
  </si>
  <si>
    <t>c7dcd301ecfe5ab7f778ac172cf74be7</t>
  </si>
  <si>
    <t>b67d6c666e8dce1d078c882825e12704</t>
  </si>
  <si>
    <t>9b76ad3d04236f76bc71c59470305e13</t>
  </si>
  <si>
    <t>7b7ed56ae755e2880f2b69632e839c1e</t>
  </si>
  <si>
    <t>d2f3e277560ed4c6361284429b00f037</t>
  </si>
  <si>
    <t>94d76e96eedd976258cd3278ce56d5f2</t>
  </si>
  <si>
    <t>a45314082d50d578a4721c9787ce09ab</t>
  </si>
  <si>
    <t>6bd503a8230299c9316fb0f726933927</t>
  </si>
  <si>
    <t>78ef7e885d17f35e2382a47aae8b8cce</t>
  </si>
  <si>
    <t>27a56ff04b34c2ba34ce6ba4d3b9d616</t>
  </si>
  <si>
    <t>7d294cf9a6a69dc6a0c3e540fff0e039</t>
  </si>
  <si>
    <t>c13ef0cfbe42f190780f621ce81f2234</t>
  </si>
  <si>
    <t>62760d278921b5f352461620d68a9cee</t>
  </si>
  <si>
    <t>432c67955c0acd1fd6b0b5d678766a71</t>
  </si>
  <si>
    <t>1e8c6a4c538f286aee9573239740a4b4</t>
  </si>
  <si>
    <t>e627629ba868740e287800f1a9be81c2</t>
  </si>
  <si>
    <t>fe4cd9461203cee790d36792420b310f</t>
  </si>
  <si>
    <t>73da1880b39c71de2b262bc7720c1494</t>
  </si>
  <si>
    <t>79565f7d5603b24ddf07ade262547f2f</t>
  </si>
  <si>
    <t>d263fa444c1504a75cbca5cc465f592a</t>
  </si>
  <si>
    <t>fa14641f57b655e933124a9ea49cd7a5</t>
  </si>
  <si>
    <t>e603cf3fec55f8697c9059638d6c8eb5</t>
  </si>
  <si>
    <t>615005a3ef192c00c6f0e977cee3d2bc</t>
  </si>
  <si>
    <t>5563732abe64c3036cb97ad924128dd1</t>
  </si>
  <si>
    <t>4a23adac87cf538689fa600d976f78b2</t>
  </si>
  <si>
    <t>a37c340b91cb0169e8b029db6440fba2</t>
  </si>
  <si>
    <t>b98b715fe9e276204e2a3464f48cd796</t>
  </si>
  <si>
    <t>c8660dcf9ba70575f45d80fe28c27713</t>
  </si>
  <si>
    <t>51209b446b2073894bdc0face6c73ffc</t>
  </si>
  <si>
    <t>830379336fad8c6f3b15a4a3ddb5c66e</t>
  </si>
  <si>
    <t>0bfd0b434243adc5c2e1aa6baf19c6aa</t>
  </si>
  <si>
    <t>184a67a8f9f63234d3a92340bbdb727f</t>
  </si>
  <si>
    <t>12a8eb0f8d1cd3270695bf2a99f55966</t>
  </si>
  <si>
    <t>9ac4f14370b1e24ddc58be041b7f99df</t>
  </si>
  <si>
    <t>4e85b538b0dad58852641540686d0e14</t>
  </si>
  <si>
    <t>6650fcccd8cd2f7e55ffa524f30c4c59</t>
  </si>
  <si>
    <t>61b18775be84fb700a6b2d0ba097bf66</t>
  </si>
  <si>
    <t>085f6f7e049c996695fb2074fe38d45e</t>
  </si>
  <si>
    <t>a080fc8a850289b27500f6b49cca2553</t>
  </si>
  <si>
    <t>9d39404483343dd55c7ae254494d8388</t>
  </si>
  <si>
    <t>559d56f3b8f0bc2e5a9a62fe2ce2a39f</t>
  </si>
  <si>
    <t>f44bdc12aa39f5271f0b95f66cd4c289</t>
  </si>
  <si>
    <t>c1849d4d32d7a6cecd5aa471809d3135</t>
  </si>
  <si>
    <t>f7315bb81aea4ddca2d39e249a801c98</t>
  </si>
  <si>
    <t>97e4a63591ca439a2b8b7efd20e6e19e</t>
  </si>
  <si>
    <t>31eec405c9bb71dec8e2629a92e764fa</t>
  </si>
  <si>
    <t>52092ddbd3a58c450a4459bf051b2287</t>
  </si>
  <si>
    <t>a64e44665225d19dfc0277eeeaaccc57</t>
  </si>
  <si>
    <t>a5dd1946fb63ada8bcaa0c9cd8f11e22</t>
  </si>
  <si>
    <t>6219ba2359cfb97f2e38fd4c321eb309</t>
  </si>
  <si>
    <t>2f4b0d3b9634b647d4edee577d7ebb7e</t>
  </si>
  <si>
    <t>b127efdabeffb5d559349c7b172eb75d</t>
  </si>
  <si>
    <t>9c3c24eca51c52b91c1de727d2a2ae06</t>
  </si>
  <si>
    <t>63191ead8d3b2f937cd1996fdcbbad20</t>
  </si>
  <si>
    <t>b88e7c57cb2d8b973b7dd4a2bfa14b36</t>
  </si>
  <si>
    <t>1b45169b635ef59425637e9a33eb5fb3</t>
  </si>
  <si>
    <t>3afc536624bc2e65bddfb5db33cc01f3</t>
  </si>
  <si>
    <t>ad75519a07f039025e83795a4418470f</t>
  </si>
  <si>
    <t>03bd479e1d9484cdb14104d3023f7321</t>
  </si>
  <si>
    <t>2f4b9d112bfa44a214bc6cef085d17c8</t>
  </si>
  <si>
    <t>499ec63c58e51296c9cf57edcfe1c8a8</t>
  </si>
  <si>
    <t>26b482dccfa29bd2e40703ba45523702</t>
  </si>
  <si>
    <t>8936ba0de1073ee888cb3185ae5dc661</t>
  </si>
  <si>
    <t>24c1de8d9551c0b4fbc53317d53efda8</t>
  </si>
  <si>
    <t>a7ecf689b40a44361e259b28939023e4</t>
  </si>
  <si>
    <t>f18112da765e0971ca5d510dec322bdd</t>
  </si>
  <si>
    <t>76de363de16dacc923eec8daf91df504</t>
  </si>
  <si>
    <t>579891617139df7d8671d373f0669622</t>
  </si>
  <si>
    <t>2e0dba2da448400b1c11d7b4b22f32a4</t>
  </si>
  <si>
    <t>131fcb0a0c9a47bba4474aacff0f14b7</t>
  </si>
  <si>
    <t>a435b009cd956ea60748b5cfbddf2e24</t>
  </si>
  <si>
    <t>a806a4bb063ea7ca6d374eafa50a6058</t>
  </si>
  <si>
    <t>152ee17e4c8aaf53dac99f3462e4999b</t>
  </si>
  <si>
    <t>184725737946a1a938bbbd1a9e978103</t>
  </si>
  <si>
    <t>0743a0239d764b9a0f959a57d07e36ab</t>
  </si>
  <si>
    <t>333c4210e76a1aa2ab817b99437e3ff1</t>
  </si>
  <si>
    <t>9d489893ff6af05029671b785f54b998</t>
  </si>
  <si>
    <t>c113b8df1fc375bc3d73d29c1b1144d1</t>
  </si>
  <si>
    <t>69a43819c758c65a5befb0b471c954d7</t>
  </si>
  <si>
    <t>a3082f442524a1be452e3189e003b361</t>
  </si>
  <si>
    <t>38af8acfd46ac4a7bf754e8ca6736664</t>
  </si>
  <si>
    <t>173d56ffbd4c56cb80fc3615487d712b</t>
  </si>
  <si>
    <t>cf1313c6e2c01c2f4b014f97db4bcd2b</t>
  </si>
  <si>
    <t>d5c530f4884a75ae0dba9c148718d278</t>
  </si>
  <si>
    <t>15ead3a5037a918ddb520dfe39a3d2b9</t>
  </si>
  <si>
    <t>883dd81e82754ac2c65e9790a7db8c9a</t>
  </si>
  <si>
    <t>da20530872245d6cd9d2f5725613c430</t>
  </si>
  <si>
    <t>e88c9b79e592e370d6bd852eeefbf057</t>
  </si>
  <si>
    <t>ad87df7699e83b8a91822a4a0b765c3a</t>
  </si>
  <si>
    <t>918717417d88a9f9ae9735567e6c7682</t>
  </si>
  <si>
    <t>44f091b5abab8018f682fce8124b85e5</t>
  </si>
  <si>
    <t>b8a0adc91af209270c2c725168eb00fd</t>
  </si>
  <si>
    <t>52bb00821bcdd358a5a5a27e1f6be5a1</t>
  </si>
  <si>
    <t>df47da4ae86fa4db890d05aaf24e21d8</t>
  </si>
  <si>
    <t>249f0e9905a6e06ad6c6bea7547ab9f6</t>
  </si>
  <si>
    <t>a9415cf907dfa12f9ed18693244f5329</t>
  </si>
  <si>
    <t>48bad451945f5227341793478d6353ea</t>
  </si>
  <si>
    <t>65a7c0788e4d632ccb5e1b594b87f0bb</t>
  </si>
  <si>
    <t>6da1992f915d77be95d7fa48b36904af</t>
  </si>
  <si>
    <t>c79151301b9d90985d1fa52879213105</t>
  </si>
  <si>
    <t>6c1b6d0c604b776f844125f911eb7377</t>
  </si>
  <si>
    <t>b9ec22de23f18567de0e09d776ca0309</t>
  </si>
  <si>
    <t>ea4e9ce63a2134743b4a92777437fcdd</t>
  </si>
  <si>
    <t>2a73cba571d90c694b7caca072ccf6ce</t>
  </si>
  <si>
    <t>7dea6f73af847b42cc3985bd620f994d</t>
  </si>
  <si>
    <t>aded58c8142dedc5494a81f948431fab</t>
  </si>
  <si>
    <t>86bf77bdb52e615674772d5817c6212f</t>
  </si>
  <si>
    <t>51f108f62cb87d61918159902c8f8583</t>
  </si>
  <si>
    <t>2d22fc3089eb907b29ebff50581fb472</t>
  </si>
  <si>
    <t>3d01d1c414c44b5943a09619ff3853cb</t>
  </si>
  <si>
    <t>8fd3b4468f6425810648177996c14cbd</t>
  </si>
  <si>
    <t>debe6615cd90cc0c2eac2b8988e1f628</t>
  </si>
  <si>
    <t>9b00cad94ef3078faf6fba2e792c158f</t>
  </si>
  <si>
    <t>e83e93b71371817b11d78a63ff156aee</t>
  </si>
  <si>
    <t>a7a9b880c49781da66651ccf4ba9ac38</t>
  </si>
  <si>
    <t>b7d5b4b87af9d42b601865d3f3810bff</t>
  </si>
  <si>
    <t>c76d418370990614e89e956c7a7567d9</t>
  </si>
  <si>
    <t>9cf787a239c1aa29dbd76f153dc13f9a</t>
  </si>
  <si>
    <t>6d1b9c9579132c87d2703ec38c30f2c5</t>
  </si>
  <si>
    <t>0cab2da43793a6f3c5ed8514c5f54627</t>
  </si>
  <si>
    <t>3a3e46d10f74d8a6ca76e2b538f106a0</t>
  </si>
  <si>
    <t>12c2ed9cded6138cf0c75f525f565fc7</t>
  </si>
  <si>
    <t>6dc9bec584588412a6a338830946a3e4</t>
  </si>
  <si>
    <t>8c9348f33ae3dada25c99c99ade2af78</t>
  </si>
  <si>
    <t>7957cac1a02f45d0a4a7e45626382ec2</t>
  </si>
  <si>
    <t>2b402d5dc42554061f8ea98d1916f148</t>
  </si>
  <si>
    <t>4b98b0428fc1932cc2514ef9ce2505e6</t>
  </si>
  <si>
    <t>f8d5c7085db9a4ad2b8c1ffbeb2798c8</t>
  </si>
  <si>
    <t>2b3b9ce054da76a7428df143a567b156</t>
  </si>
  <si>
    <t>dbbcfe2c8d026742134ac3e28ccde274</t>
  </si>
  <si>
    <t>6179a28a13a726c29b3bf54c070dccab</t>
  </si>
  <si>
    <t>2c538755f1ca9540af144f266e70df6c</t>
  </si>
  <si>
    <t>dcf3755cefcdc158ad0b7bdde51e871b</t>
  </si>
  <si>
    <t>ec8463980a4e0ea9f8517aea1ed0c419</t>
  </si>
  <si>
    <t>ea3ebea5317b0efbc663ecc8ce5e9bc2</t>
  </si>
  <si>
    <t>1703bc09972dab9782e7a9194943b69f</t>
  </si>
  <si>
    <t>bbe87dce25ba8b38bb61cc7210a3f10b</t>
  </si>
  <si>
    <t>b76a1f8356322f12529c37b67d5c96c2</t>
  </si>
  <si>
    <t>a81466620e46a6970b22ef40379fdfc9</t>
  </si>
  <si>
    <t>adbe70ab2c97442046d393988c8d1d27</t>
  </si>
  <si>
    <t>eebb3372362aa9a46975164bed19a7e7</t>
  </si>
  <si>
    <t>d149de2f383552baea37a7198c2296ce</t>
  </si>
  <si>
    <t>ba89796db68db180bd389de96b2ff3b6</t>
  </si>
  <si>
    <t>4dc646b9b9e8e411ef48ba000ea3ac6f</t>
  </si>
  <si>
    <t>7f35f9daf223da737b78738fbae4d977</t>
  </si>
  <si>
    <t>0ec28cec4046a4a199b6de9b4c891d97</t>
  </si>
  <si>
    <t>77714512e8d4dda9c234da8e3faf16e4</t>
  </si>
  <si>
    <t>46ef1a25845fc051c2998d878354810c</t>
  </si>
  <si>
    <t>4e0d109ccfba9a1151c103049880c857</t>
  </si>
  <si>
    <t>5236605f4d4b0b3e4df85b850393fca0</t>
  </si>
  <si>
    <t>eb9267cccc90f1b49c8d2f9887c7dd97</t>
  </si>
  <si>
    <t>508808d438fe2ff972ed13bb8f4a82e2</t>
  </si>
  <si>
    <t>71593c7413973a1e160057b80d4958f6</t>
  </si>
  <si>
    <t>c286ec035ee04ba81c97508f0b5df544</t>
  </si>
  <si>
    <t>2d9e8987a2ea5cf88dce330249043ff1</t>
  </si>
  <si>
    <t>d36b07fd3c5088e477a72d1fccfe29d4</t>
  </si>
  <si>
    <t>94c49f20a123aeb9360dbf80ff912bf6</t>
  </si>
  <si>
    <t>19a7c9f66ffa6452ff4b4c0cca71da27</t>
  </si>
  <si>
    <t>e94b64dc6979b302a5a5be1662c83bb6</t>
  </si>
  <si>
    <t>33d677f27a69b84051204ee4ae76eaca</t>
  </si>
  <si>
    <t>e819bcfade7b5d88a27325eb6cfd62c5</t>
  </si>
  <si>
    <t>c5ebe6598748b0aeaa61cfb820478b92</t>
  </si>
  <si>
    <t>c70a353f02429c00775a46a75fb787da</t>
  </si>
  <si>
    <t>c0f783394e37cd9c9d7f5f81141450fa</t>
  </si>
  <si>
    <t>e83c76265fc54bf41eac728805e4da77</t>
  </si>
  <si>
    <t>d9d43faf741ceaa8da52fdbb81d9e0e3</t>
  </si>
  <si>
    <t>3b18f9856c6eb2413eafedb58e9eecd9</t>
  </si>
  <si>
    <t>baa49d93c8c8841e27400a300f5d74b2</t>
  </si>
  <si>
    <t>20611af7866c6068fd5ae1f9dbe15c92</t>
  </si>
  <si>
    <t>21d59342ba150175ca2aa4f8faddeca6</t>
  </si>
  <si>
    <t>94b9108d4b637ba65bb4f1e53cfcf8d8</t>
  </si>
  <si>
    <t>c611f4ce9ce875bcc063fa97fd4d7d12</t>
  </si>
  <si>
    <t>83c465a786b06574376909b35ef6752a</t>
  </si>
  <si>
    <t>09883d9ab71c8fe8a9bfc7fc3075b07e</t>
  </si>
  <si>
    <t>14f2b3587172b9db894c9bad8dab520b</t>
  </si>
  <si>
    <t>661ad5fcc28cdfb8bcadb12bb2272475</t>
  </si>
  <si>
    <t>5733d806668f8712c24b9abaefbfa642</t>
  </si>
  <si>
    <t>bc39d8938f90a3a2b98193723ed59774</t>
  </si>
  <si>
    <t>bdb3edbaee43a761e2d4f258dc08f348</t>
  </si>
  <si>
    <t>48b6c3f4c6a93171da04b75313f2130f</t>
  </si>
  <si>
    <t>0761743cbffb25d7148189e9f1a5f03a</t>
  </si>
  <si>
    <t>ede2977fbaf3738583170735ca403f6c</t>
  </si>
  <si>
    <t>f410c8873029fcc3809b9df6d0b28914</t>
  </si>
  <si>
    <t>10264f60a8f0a4d2f30810f5c661c673</t>
  </si>
  <si>
    <t>5194c22ed1f616ec0c0f33c571542879</t>
  </si>
  <si>
    <t>9b1ab052f5fca308ba743ac789ebb2e1</t>
  </si>
  <si>
    <t>ebd1417732defaf66c50b5a800eb293e</t>
  </si>
  <si>
    <t>25debeafbce801fdd479539350185eee</t>
  </si>
  <si>
    <t>2ee0a0689f2f6a72f35a7cb6033f6e7e</t>
  </si>
  <si>
    <t>aa762680c40618316a896838866140ea</t>
  </si>
  <si>
    <t>ea1776927851da2532aa70d6a32c095a</t>
  </si>
  <si>
    <t>28fb0829fd777877cdc350d25cb5bd5b</t>
  </si>
  <si>
    <t>252e76235acb79183cfca6e34f13337d</t>
  </si>
  <si>
    <t>6bb66d9870c2e01c05655c7ed0e7ee13</t>
  </si>
  <si>
    <t>c9e5ad1f6647f5dbd1172adf6ae3cada</t>
  </si>
  <si>
    <t>d73cbd89533ce8b041a9190241453ac8</t>
  </si>
  <si>
    <t>9539213aa8e023c01937bef95dc006da</t>
  </si>
  <si>
    <t>f626e15b7314c267e4429010866f70e9</t>
  </si>
  <si>
    <t>b76f4d90e85657a240495c876313adc5</t>
  </si>
  <si>
    <t>422be4cc81a457fdb46f47edeb968ae5</t>
  </si>
  <si>
    <t>c3fe93ba3085f92855c97e57f38c8c05</t>
  </si>
  <si>
    <t>6c6e3d67f969468f3bfd33f827a31222</t>
  </si>
  <si>
    <t>53088c75f948b48a7ece173ac17f0c12</t>
  </si>
  <si>
    <t>8dfbc5ff27df12f6cef751d3b9554222</t>
  </si>
  <si>
    <t>791cfcfe22fe4a771ece27f90017da92</t>
  </si>
  <si>
    <t>485452467ff670447e84a8370c3fc898</t>
  </si>
  <si>
    <t>04ee0ec01589969663ba5967c0e0bdc0</t>
  </si>
  <si>
    <t>31be790e64fc99f8ff48ec2bd18a3104</t>
  </si>
  <si>
    <t>87d73636a3acf123e842bb890a4db036</t>
  </si>
  <si>
    <t>f00f5b35d0abcacbdd863672f4bb2c1a</t>
  </si>
  <si>
    <t>5721089ba9214e80074f27d5a03fc0eb</t>
  </si>
  <si>
    <t>a9ae440659f48b7849df83e82734150b</t>
  </si>
  <si>
    <t>94ca168e8bcb407ab85c5da308863027</t>
  </si>
  <si>
    <t>72146da5774cabf2632faedcae097a76</t>
  </si>
  <si>
    <t>08ad4ac1388e4420ca531c3edfc46198</t>
  </si>
  <si>
    <t>9853a239ab7b7ebbdc3a21248d5b8e1f</t>
  </si>
  <si>
    <t>d594982fd877af63ace38ea1fca27c76</t>
  </si>
  <si>
    <t>13d95f0f6f73943d4ceffad0fc2cd32c</t>
  </si>
  <si>
    <t>446cc09cdbb130904da114e807dbec40</t>
  </si>
  <si>
    <t>3c88ed2e76a2247933a15daa7161eb1c</t>
  </si>
  <si>
    <t>d2572f31e9023e9850ef986a636ff9bf</t>
  </si>
  <si>
    <t>85044848b1b767db2a4a58526adef4b4</t>
  </si>
  <si>
    <t>9c54608f0996c32ae4743089d915f845</t>
  </si>
  <si>
    <t>aadfe0417e61315688b6bd7043361e25</t>
  </si>
  <si>
    <t>f682e0f848abafc6f41e0d4e868c66ef</t>
  </si>
  <si>
    <t>fb8904a8ea99f8831b64ce27db2c1765</t>
  </si>
  <si>
    <t>ebef8d8c92b4fd3226e5d407bbff21ac</t>
  </si>
  <si>
    <t>353e21e8bf8de2722b4fae1636664b76</t>
  </si>
  <si>
    <t>f419677537694f0462a91990df6ca44f</t>
  </si>
  <si>
    <t>c990d6cf976a5718aaedc539f383ab88</t>
  </si>
  <si>
    <t>f9bbdd976532d50b7816d285a22bd01e</t>
  </si>
  <si>
    <t>534a01cc6df1e034e05c32028a291fa2</t>
  </si>
  <si>
    <t>85ecf03781da592876b7844acc1b729f</t>
  </si>
  <si>
    <t>32f1bb9dfa65bc7df5c0d9d95a616be4</t>
  </si>
  <si>
    <t>88ef59b51bdaa941d10a853429f2b6ce</t>
  </si>
  <si>
    <t>0e44d110fa6a54e121cb2c095a77762f</t>
  </si>
  <si>
    <t>58c851d1a3c7cd3da329eb59453fed44</t>
  </si>
  <si>
    <t>1e26c56af8d48424e1df0140a2401f83</t>
  </si>
  <si>
    <t>1e47defeeadeca0e9a18fa5a9311e735</t>
  </si>
  <si>
    <t>8060d731897e33b5c5ae575ce1e209e1</t>
  </si>
  <si>
    <t>42b6488f5b8246d9141712abd4b1b693</t>
  </si>
  <si>
    <t>bab0a8cd684e41ba6e2637dca0979d3b</t>
  </si>
  <si>
    <t>8ccf3cf69651cc1d8a02c8bfaf3b8568</t>
  </si>
  <si>
    <t>88ae906ea2acf6971f26c3e8b7cb4357</t>
  </si>
  <si>
    <t>10cdd491d1dbea8fb4ead97b19c334ce</t>
  </si>
  <si>
    <t>6548c2550b6e2d8f18053216e1c7b6f3</t>
  </si>
  <si>
    <t>e88f7a2995ba184710d339c5c4bf2e30</t>
  </si>
  <si>
    <t>57fe6232e67823593374a2281d7a8af8</t>
  </si>
  <si>
    <t>ec5c1d94df153d473b37f880977ae58e</t>
  </si>
  <si>
    <t>483ca627d131e18f988349b1655c0acd</t>
  </si>
  <si>
    <t>ab9db4cf53b08b828b64dccaafc2d9f0</t>
  </si>
  <si>
    <t>ae45ad30c2d2e5913094769690a239d2</t>
  </si>
  <si>
    <t>28405831a29823802aa22c084cfd0649</t>
  </si>
  <si>
    <t>50bf89f1349bc0409a268c3a49678009</t>
  </si>
  <si>
    <t>d7b2377bae6ace1b11fc69a11900ac36</t>
  </si>
  <si>
    <t>2d2322d842118867781fc737e96d59a1</t>
  </si>
  <si>
    <t>984c273121e743dd14767befe6cb17f5</t>
  </si>
  <si>
    <t>4ea2f12dbe91deeacd2c1e74f069a6e6</t>
  </si>
  <si>
    <t>23ca5f678e0b3ea6c630b30fa8bf51ea</t>
  </si>
  <si>
    <t>5e25c632f9db6cfb8bc100421c2737b6</t>
  </si>
  <si>
    <t>e45edf75f568ed2f93f78d060e246e25</t>
  </si>
  <si>
    <t>5d505d2298ad549e4e4e835562fa0c1e</t>
  </si>
  <si>
    <t>954e95f20808d7e5d11f0de292d078e0</t>
  </si>
  <si>
    <t>70f7e8018e3d46c748c92f026aa2585a</t>
  </si>
  <si>
    <t>3fadb4cba4c35bce6a7eaf9872d5623a</t>
  </si>
  <si>
    <t>75745ef7bc7d4f3ea3380f6f5303f514</t>
  </si>
  <si>
    <t>0af977692321d895349eded183341d28</t>
  </si>
  <si>
    <t>3d49bfdd1b43a7fe169b3740067acc61</t>
  </si>
  <si>
    <t>05e107217c7266362fd44b75b2cd4cc4</t>
  </si>
  <si>
    <t>5e9f5bd34e0830569f05c9d4f56e04a8</t>
  </si>
  <si>
    <t>e64882b4ef12aee8d0faca4db5b681f4</t>
  </si>
  <si>
    <t>929f342384a6607afe143d789ade1316</t>
  </si>
  <si>
    <t>c0aff2da32c17759d30b22fb0af6649d</t>
  </si>
  <si>
    <t>d9cb0052a666de5308b32f32ad5f1b1c</t>
  </si>
  <si>
    <t>28c7d8743fbc8679f484868cc0fcaefb</t>
  </si>
  <si>
    <t>4c1c7281388a33dd06daac44f9fadbd1</t>
  </si>
  <si>
    <t>e5d4b2b0c3bca22085f7a19a28de0c42</t>
  </si>
  <si>
    <t>1e483cc5c76fef08d3ca05f9a8af7d01</t>
  </si>
  <si>
    <t>1c56ffe0e9dea2657fc6e95b53f40b13</t>
  </si>
  <si>
    <t>4b90495391ac0bd181a80a459df1e718</t>
  </si>
  <si>
    <t>33ab10be054370c254ddfcf0a6253422</t>
  </si>
  <si>
    <t>cb32766839f443db85c82a43c4a6c19e</t>
  </si>
  <si>
    <t>5f0057b677eb963672bf05dfa3f16c34</t>
  </si>
  <si>
    <t>f8e2c1b59cd4225a3e4fd0d013a76b93</t>
  </si>
  <si>
    <t>2a50b7ee5aebecc6fd0ff9784a4747d6</t>
  </si>
  <si>
    <t>f3975e8a41157005d4bcbb358678cd9b</t>
  </si>
  <si>
    <t>efb628aa07c8ca93d7db0d85b91a4f5a</t>
  </si>
  <si>
    <t>615c3462099ffa940d37b17dfda19594</t>
  </si>
  <si>
    <t>762fafdaa57a532ee0119731697579dd</t>
  </si>
  <si>
    <t>4ce8b55b4bfa4659184e7becc1fba3f2</t>
  </si>
  <si>
    <t>3dfd3dc96f7f8598eca74e9ac8a2fa31</t>
  </si>
  <si>
    <t>8a8835a43bda99fd37310ad76c457510</t>
  </si>
  <si>
    <t>81ed90f07c0bacb7594940ba2ef676aa</t>
  </si>
  <si>
    <t>7f5e4d5efad7e44b91115dd1decb65f3</t>
  </si>
  <si>
    <t>5a9c0859cb00fd8aa4db443837f0a700</t>
  </si>
  <si>
    <t>e0a3c37054ade6478d923a6efc10f308</t>
  </si>
  <si>
    <t>269c5fc9fcadee614364c3620c30a1f9</t>
  </si>
  <si>
    <t>d1a5cc844736958c11b8efab9a2b4c87</t>
  </si>
  <si>
    <t>6f1a1263039c76e68f40a8e536b1da6a</t>
  </si>
  <si>
    <t>70c4eedec9cb4a85cda2f3f9673557b4</t>
  </si>
  <si>
    <t>8d92f3ea807b89465643c219455e7369</t>
  </si>
  <si>
    <t>1746c1ae87ac63d530c7c943d0ac42e2</t>
  </si>
  <si>
    <t>3f84fefc07dc159b268d4a77d3e8c425</t>
  </si>
  <si>
    <t>740205fedfe4e90ca6857bc77db0f2b4</t>
  </si>
  <si>
    <t>ad8b531ae67582f096925cff5630d0d1</t>
  </si>
  <si>
    <t>b05b432bf68945d4d9783f9e3ca29ee8</t>
  </si>
  <si>
    <t>e59e575a175fadcadf8479e191770425</t>
  </si>
  <si>
    <t>800214c63934acd05d47e84214db8ba8</t>
  </si>
  <si>
    <t>fe8055980a4ff7f64ed889c2b5926929</t>
  </si>
  <si>
    <t>72431a818f97fe6ab9c81eee3e297e54</t>
  </si>
  <si>
    <t>a663d9c3797e90eac99ff60939416a56</t>
  </si>
  <si>
    <t>bec568278124768c474ee90971ca94d1</t>
  </si>
  <si>
    <t>a0a14e50070f3225b3eabba5b85da517</t>
  </si>
  <si>
    <t>7d484ca289afaac6bf5fc6a1e96d2226</t>
  </si>
  <si>
    <t>90b36c5aeb728d5504a39f435bef0c5f</t>
  </si>
  <si>
    <t>50770d25768b0486d89be26afca3108f</t>
  </si>
  <si>
    <t>809413606dbfe5deefd2db646693ef67</t>
  </si>
  <si>
    <t>643c01d7c56a724bec0454f4780e8a3e</t>
  </si>
  <si>
    <t>3442f8959a84dea7ee197c632cb2df15</t>
  </si>
  <si>
    <t>bcc9dd23e2a8bd8267cf92b19304a1b9</t>
  </si>
  <si>
    <t>edf3fabebcc20f7463cc9c53da932ea8</t>
  </si>
  <si>
    <t>bff9deb0ec77d437f3305a79cf25529e</t>
  </si>
  <si>
    <t>299c89a525fee36c567f4fe72f038100</t>
  </si>
  <si>
    <t>778323240ce2830d68aab11794e00bfb</t>
  </si>
  <si>
    <t>63b9ae557efed31d1f7687917d248a8d</t>
  </si>
  <si>
    <t>2075d8cd4dd63ff12df0749a5866bb06</t>
  </si>
  <si>
    <t>b01c2b7b8599b325103ebcddc67413e1</t>
  </si>
  <si>
    <t>90b57083da5d803237da74daec6dcb2b</t>
  </si>
  <si>
    <t>a218df5c097b0ca409cfaac1488cc7f6</t>
  </si>
  <si>
    <t>eec3469d83e142f9a104886655338c37</t>
  </si>
  <si>
    <t>034b9387752bfa309f350a70cd45ffa3</t>
  </si>
  <si>
    <t>762ed976527cddf02787edba70fffa2a</t>
  </si>
  <si>
    <t>0f7eea709efdf942b5f95c7516dbacd7</t>
  </si>
  <si>
    <t>586a871d4f1221763fddb6ceefdeb95e</t>
  </si>
  <si>
    <t>31e60bf8d103ce47932a85f5562deb16</t>
  </si>
  <si>
    <t>7d948535954aaf8c5d39db007f74372e</t>
  </si>
  <si>
    <t>b5f49fe968dff6b112861e6cd8e192ef</t>
  </si>
  <si>
    <t>7ad41305e96a6cab8294cd65891e9a86</t>
  </si>
  <si>
    <t>1de62b6f2fd96227629786db492433db</t>
  </si>
  <si>
    <t>6ee85be3693ed79a8e80718743d80655</t>
  </si>
  <si>
    <t>751e274377499a8503fd6243ad9c56f6</t>
  </si>
  <si>
    <t>89d9a386b0b6e5fc8403071b03f7206a</t>
  </si>
  <si>
    <t>3d700782d7818f2c1e0d7a9e9d75fc00</t>
  </si>
  <si>
    <t>9da15f4a4ea758d9eeb49000dbe57e22</t>
  </si>
  <si>
    <t>e0482f2c769468c3bbcd8a01e09d98c5</t>
  </si>
  <si>
    <t>3d290fe363c60a77498c1126fd3fb8d3</t>
  </si>
  <si>
    <t>a4b8d97cd5d3674eeff96abc99d8ed67</t>
  </si>
  <si>
    <t>dd8a29ce82d5c705ba932d81494600a5</t>
  </si>
  <si>
    <t>4f0d637c1197fd65405ebd755ac9f86b</t>
  </si>
  <si>
    <t>ccada0ef508e698917a6eab263375905</t>
  </si>
  <si>
    <t>e503f22be6a4f456d9851920a5d9c670</t>
  </si>
  <si>
    <t>478bfe564db21eeb44386606aa30b650</t>
  </si>
  <si>
    <t>fc6295add6f51a0936407ead70c1001d</t>
  </si>
  <si>
    <t>d8dd176509baa37f359644d082bf7f7b</t>
  </si>
  <si>
    <t>8def3db7f272735afb2ecd03aeca09a7</t>
  </si>
  <si>
    <t>6f835fd4be26989b1b064399da346143</t>
  </si>
  <si>
    <t>2cb4700db635baa1c0d4f90ed27b6669</t>
  </si>
  <si>
    <t>3fe7120d6257285ac6a3ce7cb071ccec</t>
  </si>
  <si>
    <t>2ea0861cc19e94cad86438c984c52da4</t>
  </si>
  <si>
    <t>23ff42c4bf1f8f16cddb19d8b972974a</t>
  </si>
  <si>
    <t>f35becee938e982bd615edf8ef12bcfb</t>
  </si>
  <si>
    <t>1d1bbb8ac1581824986f582583fff01d</t>
  </si>
  <si>
    <t>f356c348fbc8df6a882823e21f5ce8b7</t>
  </si>
  <si>
    <t>939f6e231201f26803cb5c3a3d2940b3</t>
  </si>
  <si>
    <t>f92d8c817434bd2d84d4e9c61322b7fa</t>
  </si>
  <si>
    <t>1cbdc7cf130a41fd13a3c2a7d2fcfda7</t>
  </si>
  <si>
    <t>3fefda3299e6dfaea3466ef346a3571a</t>
  </si>
  <si>
    <t>c747d5b92c7648417faea95d36d763e8</t>
  </si>
  <si>
    <t>8ca5b19e0263150d2c57afdde2b3d011</t>
  </si>
  <si>
    <t>651530bf5c607240ccdd89a30c9c9712</t>
  </si>
  <si>
    <t>377bc18334c78dd2f1535ef22a3ad225</t>
  </si>
  <si>
    <t>c5e60e39c0f42b8e827daa13cff74afa</t>
  </si>
  <si>
    <t>9e7c5f4d7770eab65738cca38f9efccf</t>
  </si>
  <si>
    <t>4d9fea3499bdc22aa4da4e339365f215</t>
  </si>
  <si>
    <t>747c1cdcd1737dcfbd1547f6eb6f2cf3</t>
  </si>
  <si>
    <t>52f6f9f13ba19504c02781132a049e75</t>
  </si>
  <si>
    <t>e9874ae10b2d60d43917b6bbfa13a599</t>
  </si>
  <si>
    <t>b7e1750c1157341d2abd0251e07c186b</t>
  </si>
  <si>
    <t>717b78b0950b51ed00b1471d858b0edc</t>
  </si>
  <si>
    <t>19e0f40a907ec568c34bfac15de4f4a1</t>
  </si>
  <si>
    <t>5db42a6cd9bf1bf0d3aab9582767f168</t>
  </si>
  <si>
    <t>dda37071807e404c5bb2a1590c66326f</t>
  </si>
  <si>
    <t>3289d8c3eef4873f91ce0b1343c0dd58</t>
  </si>
  <si>
    <t>9cea4682e16655f7da87f406902e989e</t>
  </si>
  <si>
    <t>f19516b9ff26bfeb091b30108db4ddbd</t>
  </si>
  <si>
    <t>f26d70155c2b6326fcfa1780c8c684e4</t>
  </si>
  <si>
    <t>c360e4787614ed31ac7a2f95d3b22dc6</t>
  </si>
  <si>
    <t>ca7c6bd577e559472af1c699de9e764e</t>
  </si>
  <si>
    <t>538caafddff204241cecbf3a02e6b3cf</t>
  </si>
  <si>
    <t>a3b0df0065e264a91b7bbf5f844af5cd</t>
  </si>
  <si>
    <t>99a25c39b28a74d1151c35c18d178292</t>
  </si>
  <si>
    <t>dbc51f5e45d654ecc16cb68e6817ecea</t>
  </si>
  <si>
    <t>3a79f35a2344ede41af21267f61d5ec6</t>
  </si>
  <si>
    <t>e1bed63d68ac36fe1f3061befe196af5</t>
  </si>
  <si>
    <t>213fafb0ca06fb3d5886579c2565791b</t>
  </si>
  <si>
    <t>f307937c1bb287c3efc2a514b94b0d1d</t>
  </si>
  <si>
    <t>63272377184e969942f7fff221be858d</t>
  </si>
  <si>
    <t>bdf0d02d36a1d839d0c39c4a887cdd49</t>
  </si>
  <si>
    <t>55c96925041a14097b6a7825554f4ad5</t>
  </si>
  <si>
    <t>039b29ff3b3473435d0cd59040575de9</t>
  </si>
  <si>
    <t>bd4ff04377f974574f7f0bf9d6ce7dde</t>
  </si>
  <si>
    <t>c04d70d515d15a7e3db3a73320598566</t>
  </si>
  <si>
    <t>4450bd8327d471c4a11a83d1445b1b62</t>
  </si>
  <si>
    <t>1352e06ae67b410cdae0b2a22361167b</t>
  </si>
  <si>
    <t>5659d77e8d90378e39b960ad5956f64e</t>
  </si>
  <si>
    <t>78ba5933c21686d1c2f64669c8c459e7</t>
  </si>
  <si>
    <t>c353f8fc0ce8344999f17d578eb69a5e</t>
  </si>
  <si>
    <t>19484c79cef6c062cb177aa4ef2fcc3c</t>
  </si>
  <si>
    <t>98dddbc4601dd4443ca174359b237166</t>
  </si>
  <si>
    <t>fedf2c1386e137f296b3bbf3b635e69d</t>
  </si>
  <si>
    <t>4a82c4af97ffc0fb2dc26bfdc03b1842</t>
  </si>
  <si>
    <t>b906dd0e57f282c7089171b6ed07982e</t>
  </si>
  <si>
    <t>45c20d94d9171b0bcfab3c955e47d67b</t>
  </si>
  <si>
    <t>8e34331b7eedd03be4e5d965c1956225</t>
  </si>
  <si>
    <t>22c32ec35d0116ef02c281798a25bf8b</t>
  </si>
  <si>
    <t>6ba4733aa33f6386e9fb0c0fd3993b38</t>
  </si>
  <si>
    <t>4bcec44888b30ba9001234c534716d3f</t>
  </si>
  <si>
    <t>cbbd5ae8f53de5f5097cd8217b529e24</t>
  </si>
  <si>
    <t>7d7866a99a8656a42c7ff6352a433410</t>
  </si>
  <si>
    <t>b00af24704019bd2e1b335e70ad11f7c</t>
  </si>
  <si>
    <t>119c7f1a00ef43fad0e57604e76a747c</t>
  </si>
  <si>
    <t>0b64bcdb0784abc139af04077d49a20e</t>
  </si>
  <si>
    <t>0692610d8abe24f287e9fae90ea0bbee</t>
  </si>
  <si>
    <t>d9c349beabc06aa6ff1c6d68b5e9e22e</t>
  </si>
  <si>
    <t>43a1d4bab73b816e44ef4e4facd9f9b5</t>
  </si>
  <si>
    <t>902c99f1ac505c0d18778b61bcd636f7</t>
  </si>
  <si>
    <t>bd0a1b0aadca9a83d9304f7e8ff5fbd5</t>
  </si>
  <si>
    <t>7adbd3210a7b3cc2235e225eef33574d</t>
  </si>
  <si>
    <t>7cf4ea70955b00d6b3c22542598e2715</t>
  </si>
  <si>
    <t>2235cf78d3e2073a88146a9cb60f0dd0</t>
  </si>
  <si>
    <t>964ff64dc05b13811c6d0f41e0aa5f6b</t>
  </si>
  <si>
    <t>698f5fa55a5f73d0740e9d9a773e8093</t>
  </si>
  <si>
    <t>5a9b3bcab695173c820e53934574ae80</t>
  </si>
  <si>
    <t>aae5953b9edddf14749c0d65d60eb4b9</t>
  </si>
  <si>
    <t>686886775c8f6b1191c7b953fb52708c</t>
  </si>
  <si>
    <t>bb3dca718920a4d7ec3cc9ffb025108b</t>
  </si>
  <si>
    <t>d3e7d37c0df9aef383f3f2a15b0dddfb</t>
  </si>
  <si>
    <t>0ade5cc4a305ed7093a23f68ca47519c</t>
  </si>
  <si>
    <t>5def4c3732941a971cba8fdee992ede1</t>
  </si>
  <si>
    <t>78813699ffac347fe27dba345a5f1551</t>
  </si>
  <si>
    <t>51a04a8a6bdcb23deccc82b0b80742cf</t>
  </si>
  <si>
    <t>4dc2e811a1760953cb7c6a590b498943</t>
  </si>
  <si>
    <t>c7c7b2682c648339a0e9846bb1023a39</t>
  </si>
  <si>
    <t>88cd3681e0a2ba85e190f7d817629c4c</t>
  </si>
  <si>
    <t>e1643dff33666ca629e3644c02738179</t>
  </si>
  <si>
    <t>9dd459b29a14bf89d47183cf2cd0e4c7</t>
  </si>
  <si>
    <t>b9de031b671cd48b28fae9d828cbf2b4</t>
  </si>
  <si>
    <t>880ce4951cf857ab1d9e0b75c1d856f4</t>
  </si>
  <si>
    <t>57df9869a600bd6b7c405f2a862eccfb</t>
  </si>
  <si>
    <t>52a50b42accf164f9f019941e5759d9b</t>
  </si>
  <si>
    <t>d2df77822373f19934e87694d8640767</t>
  </si>
  <si>
    <t>3606774ec64634822d78dc2db6d37045</t>
  </si>
  <si>
    <t>94165aea8a35c3c21499cbcae239b16c</t>
  </si>
  <si>
    <t>9c57bc60cfad5ee62d35d3f1ce4593a1</t>
  </si>
  <si>
    <t>fa5fdc4e4bb6bd1009ad0e4ac4096562</t>
  </si>
  <si>
    <t>6a53b90c3ad9e0b56d9fe5c69165fff5</t>
  </si>
  <si>
    <t>56f413900b5166ab4d730e9ac0b12cb0</t>
  </si>
  <si>
    <t>7c9130f5f3729edd32aa059141d92484</t>
  </si>
  <si>
    <t>3ea08c48e851106d2f584349daba335f</t>
  </si>
  <si>
    <t>533d46c1b06970e99f09523a61df4972</t>
  </si>
  <si>
    <t>4bde6149c15cf7e177b36fa060dd6de8</t>
  </si>
  <si>
    <t>ea846a0e7ad98a741783e886d89dfa44</t>
  </si>
  <si>
    <t>0e72c1a751b496722a6cb1f10653b62a</t>
  </si>
  <si>
    <t>2a7c6c0b0d5efde2bf75ec1e1cec2d41</t>
  </si>
  <si>
    <t>657969cca82e884d272385ec0ef06edd</t>
  </si>
  <si>
    <t>6902157ee16728322d61a1321fa79e58</t>
  </si>
  <si>
    <t>044668ccd5316b12a7cf0d54a156e3e9</t>
  </si>
  <si>
    <t>a9b533a26e898b12e8b8d4c07279bf4d</t>
  </si>
  <si>
    <t>dd9661d3cda1e6feb237f0c4d8b26f2e</t>
  </si>
  <si>
    <t>a154d7316f158bb42e6fa18bbe3afd3a</t>
  </si>
  <si>
    <t>26e13b6ff5b641b329e5524241ee2c93</t>
  </si>
  <si>
    <t>7fe21dd00d2f4943ae09525efa2fd674</t>
  </si>
  <si>
    <t>8fbe2ee446b97e128471be4ce983dc0d</t>
  </si>
  <si>
    <t>05ca864204d09595ae591b93ea9cf93d</t>
  </si>
  <si>
    <t>5566627eab3fe93fd6ee08798226101a</t>
  </si>
  <si>
    <t>98e164d549402270247f3c96a1a158ef</t>
  </si>
  <si>
    <t>578fa3a9cb6b6dceab39231ad59cdaca</t>
  </si>
  <si>
    <t>ef728fa1f17436c91ed1ccd03dcf9631</t>
  </si>
  <si>
    <t>c8143b3069f6746a77421b5ce30a450c</t>
  </si>
  <si>
    <t>83c8aafbefb034674a70de0eac5b8954</t>
  </si>
  <si>
    <t>44ed138eca6214d572ce1d813fb0049b</t>
  </si>
  <si>
    <t>7178e1eaa97257d8b6d4b80efd77a025</t>
  </si>
  <si>
    <t>2ec6e37d992a95eaddb3369dcbcc76d9</t>
  </si>
  <si>
    <t>5bc237df65098fe211bb4818f4d26d78</t>
  </si>
  <si>
    <t>0daf5180aa44356f60f8effa533b55a2</t>
  </si>
  <si>
    <t>ff82e8873fba613f2261a9acc896fd84</t>
  </si>
  <si>
    <t>695051e2981c8b19e77cafe450d5bdf3</t>
  </si>
  <si>
    <t>8e4f041ff58e7845456d3482524014b3</t>
  </si>
  <si>
    <t>aa2640d851ec322526f1295bbeb20092</t>
  </si>
  <si>
    <t>08061dc0fc165ed41288cc7acde738ee</t>
  </si>
  <si>
    <t>e3e290b38963293022cdcd6db8328103</t>
  </si>
  <si>
    <t>6601ee6383e7f452be71929f8de48bbb</t>
  </si>
  <si>
    <t>99cd94252748d2bdde08e17858233602</t>
  </si>
  <si>
    <t>f1ce5fdecd64935c28b9ff932751d0dc</t>
  </si>
  <si>
    <t>913fd0ebba70bb919f7254a02239173c</t>
  </si>
  <si>
    <t>1927cdb9fa74f5270097f6250e8e8f34</t>
  </si>
  <si>
    <t>5ca5d579b5857ee8709479b1047cecc3</t>
  </si>
  <si>
    <t>fc38b5dceee1a730fad8853453437fbd</t>
  </si>
  <si>
    <t>f266295f49a28eee21f413e0cbb0521d</t>
  </si>
  <si>
    <t>d26aa40b90272d4843d63be7c1462c8d</t>
  </si>
  <si>
    <t>077c5fae4bea9500e3737b16f71b9d3a</t>
  </si>
  <si>
    <t>96f7c797de9ca20efbe14545bed63eec</t>
  </si>
  <si>
    <t>76d336555bb25f3165d2f0d6da719c40</t>
  </si>
  <si>
    <t>89757206b887aed36f3e18d858460fea</t>
  </si>
  <si>
    <t>553a440137d6e0cf776aee0bb83ac9f5</t>
  </si>
  <si>
    <t>dde698c6d0bd24834c586e5111c2bba7</t>
  </si>
  <si>
    <t>9bade61a92bed55a25d2b67b9f4ed739</t>
  </si>
  <si>
    <t>fa8d335d68129e464e60c1826a683e96</t>
  </si>
  <si>
    <t>e9c2dc0dd4ac38448289be644ac94f42</t>
  </si>
  <si>
    <t>818d28f936e791926d33bcb6ee94ef79</t>
  </si>
  <si>
    <t>ce3ad9de960102d0677a81f5d0bb7b2d</t>
  </si>
  <si>
    <t>2039c5e51785b5dde7cf93ccb3b7be2c</t>
  </si>
  <si>
    <t>4dab98ca6cd6d3df586203cefd28a042</t>
  </si>
  <si>
    <t>fc0b214b59a83615fea981c6424a02ae</t>
  </si>
  <si>
    <t>fc908879b9ca1bd65419e54e50432d38</t>
  </si>
  <si>
    <t>2f9b7ce230a057a98a9f5df5893ee36c</t>
  </si>
  <si>
    <t>0b3f27369a4d8df98f7eb91077e438ac</t>
  </si>
  <si>
    <t>3903c788ded8dc03b5ebab37a2f3e9a1</t>
  </si>
  <si>
    <t>f049a72cf58fd31b11f8919cade515e7</t>
  </si>
  <si>
    <t>44717f64ec2a457979cf83c429077666</t>
  </si>
  <si>
    <t>e4fc40017a6d22c46a14ac2e17f87c3e</t>
  </si>
  <si>
    <t>3442033154be05bac582e173ef54fd12</t>
  </si>
  <si>
    <t>4867209cb29b56b92893d7bde3ce8012</t>
  </si>
  <si>
    <t>d8b8f2cf9ff6ba0389072541cb42498c</t>
  </si>
  <si>
    <t>f3041c2e75ec683697a6a5ea82192210</t>
  </si>
  <si>
    <t>2d34636518ba88f5349b732fcf8ba2e4</t>
  </si>
  <si>
    <t>0b09101900100c0e9d312861fad5a1b9</t>
  </si>
  <si>
    <t>9523fb39dd240aa958e040f8183d64f3</t>
  </si>
  <si>
    <t>bca9230d3bbb4efa51872bf605a2f1ad</t>
  </si>
  <si>
    <t>50a7e551a7b3f8d37cd6e32d8bfbe5ea</t>
  </si>
  <si>
    <t>3dc69bf2c42f0568a5c4791ec3fd3745</t>
  </si>
  <si>
    <t>d3891911c2feae53c52fea2bd14054e5</t>
  </si>
  <si>
    <t>1e47d8b6546eb3a77b1acddcc9406242</t>
  </si>
  <si>
    <t>941554c5757b73ba0e50aa7732310afc</t>
  </si>
  <si>
    <t>57a834594e1e9e9219603bfec184eadc</t>
  </si>
  <si>
    <t>7c4adcc13272c0e26fa23aac642adb7b</t>
  </si>
  <si>
    <t>c398bc00a606d33758afd91f4e64fd15</t>
  </si>
  <si>
    <t>49f8d2ea7b718d0ce587d34207caf2b4</t>
  </si>
  <si>
    <t>c7bb64409aa480bb7d0335faaaf3d242</t>
  </si>
  <si>
    <t>dd39ad39b5d3df33037e141c72497ba6</t>
  </si>
  <si>
    <t>9fe7c6641c79970ab48185498f547c09</t>
  </si>
  <si>
    <t>4ddeb3e828550cddc8d45c8bc36ab2d1</t>
  </si>
  <si>
    <t>fd312b6bf05efac6c3772d5b52205d8a</t>
  </si>
  <si>
    <t>1b0b0f4f95e962d6f32fe90c759d0479</t>
  </si>
  <si>
    <t>59bbc819b99a733f02f0d6b49d1c253d</t>
  </si>
  <si>
    <t>b7ba853e9551f4558440881fd3e5c815</t>
  </si>
  <si>
    <t>19d62d484cba71963c93f0f00ab42013</t>
  </si>
  <si>
    <t>3bb32fedaa74e4ad20f4ce067733bd31</t>
  </si>
  <si>
    <t>f664f98bfda2eaf266a23ff144e7a872</t>
  </si>
  <si>
    <t>461ff5303b6c9c1a4a07f40c5aece516</t>
  </si>
  <si>
    <t>398cb257329ef7af7f1943a8974a3cbc</t>
  </si>
  <si>
    <t>92c8bc6e8f925792247656fed09aad65</t>
  </si>
  <si>
    <t>8eb88b0acb3f90a717ad659221471fa7</t>
  </si>
  <si>
    <t>e8ff5a6ceb895583033fc2a0f314e3c2</t>
  </si>
  <si>
    <t>ab91571efab27993ff2f6b36e38055c3</t>
  </si>
  <si>
    <t>36f98ad67cc981f50ce8aed093d5783c</t>
  </si>
  <si>
    <t>1fbe10c70e30765ed1de86d9f7e98409</t>
  </si>
  <si>
    <t>e82de6494d91d3c4c54450f59b227a94</t>
  </si>
  <si>
    <t>741f8c587cb4248ebc5b779a0e8e0e51</t>
  </si>
  <si>
    <t>be1e9e378700cecaa4ebf71433d7915c</t>
  </si>
  <si>
    <t>e00d85ce20ea50c1224c66ca5050527d</t>
  </si>
  <si>
    <t>4c4d546adf3c3868fe19c9ec6e9ffda9</t>
  </si>
  <si>
    <t>062c325cd6a2b87845fab56b4ec2eeae</t>
  </si>
  <si>
    <t>40ec8ab6cdafbcc4f544da38c67da39a</t>
  </si>
  <si>
    <t>59de1d4c8c057c2a53acd4ca66531af2</t>
  </si>
  <si>
    <t>712efd3b68f9686dc856b84abd0f21ae</t>
  </si>
  <si>
    <t>4a5b36211b1f51bf7eaa5c10a57fa483</t>
  </si>
  <si>
    <t>bf0045791395e66460eb04749c68672a</t>
  </si>
  <si>
    <t>876182d1918783bbe15233febfbd4926</t>
  </si>
  <si>
    <t>26e2e5033827d2ba53929f43e03d8ffe</t>
  </si>
  <si>
    <t>96e5dc09087bad639b4ee193104ec2e5</t>
  </si>
  <si>
    <t>aa1eb17b9fdf6dfd546e25c45c7b9235</t>
  </si>
  <si>
    <t>f114dca2828bf718548db175ebe2cfcd</t>
  </si>
  <si>
    <t>519a7aa428f18d125a283cf8c014fdd6</t>
  </si>
  <si>
    <t>934ed5cd1b9c1c7382d0a94a94b9e639</t>
  </si>
  <si>
    <t>788f22bafdd7ab0e1e79f19db72f16a4</t>
  </si>
  <si>
    <t>4e42581f08e8cfc7c090f930bac4552a</t>
  </si>
  <si>
    <t>13dd308f81fea30cc670c656b2b46cc3</t>
  </si>
  <si>
    <t>5f57db27027655e6c6a391601daa0258</t>
  </si>
  <si>
    <t>910a922b426b7ff95eaee129ad6c0e1f</t>
  </si>
  <si>
    <t>8c351ed7c326c62123318f4f3246e906</t>
  </si>
  <si>
    <t>4c60877808f4318ef1107fbeb8f89afa</t>
  </si>
  <si>
    <t>b416191c9813d821a295cfabafff4161</t>
  </si>
  <si>
    <t>0f80a40c312b2472dca482cf50f5186f</t>
  </si>
  <si>
    <t>74c7dec0a384d8a05950e629bd23bde9</t>
  </si>
  <si>
    <t>d4a5e99e0dd915df64ba55a7fbd583fd</t>
  </si>
  <si>
    <t>296729ffb9b684050dd24836dac4494a</t>
  </si>
  <si>
    <t>739c7d7be81f63812dea0d1b1451c651</t>
  </si>
  <si>
    <t>e88165a185134e13fdfc85d4fa654db8</t>
  </si>
  <si>
    <t>d8bf0fc082fd4a77fc2e5679b6c00133</t>
  </si>
  <si>
    <t>570d4583587a5fe2d47c7be89b91ad27</t>
  </si>
  <si>
    <t>2fa13c8bd5705d279f7ed5cc9ec61c68</t>
  </si>
  <si>
    <t>c87abc38c8ed3240861729e1aeadf221</t>
  </si>
  <si>
    <t>db6a4d4b5f1f5f98820ce6ce2619e2de</t>
  </si>
  <si>
    <t>693660429f9dc4ff704eb3d88dad54d7</t>
  </si>
  <si>
    <t>52454f90d4c30c016768db02f88c1a74</t>
  </si>
  <si>
    <t>7c4402417d51474d4d0cda9557340e40</t>
  </si>
  <si>
    <t>2f3d8b4c9e2ee165075331fea3f3095a</t>
  </si>
  <si>
    <t>a90a5da8b09e44264a177c0374a5ac87</t>
  </si>
  <si>
    <t>c26ba52cf8d2f34915f2f6b7ffa0a3f3</t>
  </si>
  <si>
    <t>cd52a8efd71af3336b14b5039b951cc1</t>
  </si>
  <si>
    <t>2b5ed0c9139dae8883a200dfcb272ece</t>
  </si>
  <si>
    <t>70126eecc6aa1274392a1743866e9678</t>
  </si>
  <si>
    <t>e732329483fd5f27367dd997b47f598a</t>
  </si>
  <si>
    <t>dc120d932ddf9d4dfb6fd68beefda622</t>
  </si>
  <si>
    <t>c092292535a57dacd95a8765f5518f87</t>
  </si>
  <si>
    <t>b6f52e346160519c24a23af05410ad32</t>
  </si>
  <si>
    <t>e5c84227854980f1db19a58958c551d9</t>
  </si>
  <si>
    <t>e5def42655b7490edac5a56fe8e9e603</t>
  </si>
  <si>
    <t>e9b6c33b71b67737693b4cfa68341c8d</t>
  </si>
  <si>
    <t>160851d3ece7aa1a510f8d1a4bb8a8af</t>
  </si>
  <si>
    <t>11d4c477d09821164bca4f70a2eae031</t>
  </si>
  <si>
    <t>a69aa24cec11168e7e39a3fbc727e925</t>
  </si>
  <si>
    <t>bba8d0c234a52b87b3957037a215d1a4</t>
  </si>
  <si>
    <t>003554e2dce176b5555353e4f3555ac8</t>
  </si>
  <si>
    <t>cb5ff1b9715e99589f3e0c7a6afab9e3</t>
  </si>
  <si>
    <t>d52cbce9845184537284a23c3bc3da0e</t>
  </si>
  <si>
    <t>01266d4c46afa519678d16a8b683d325</t>
  </si>
  <si>
    <t>00d8b143d12632bad99c0ad66ad52825</t>
  </si>
  <si>
    <t>a353b1083c9863d756d9404695016d64</t>
  </si>
  <si>
    <t>35281d148dcf7134bae913c57db4e6da</t>
  </si>
  <si>
    <t>fc5a0d7a310a7a41abf86a458585ff2b</t>
  </si>
  <si>
    <t>4be9ae93c4fc0f41713d71a4194ee1b3</t>
  </si>
  <si>
    <t>164a5a8794e6d42e14f55e447b12a3bc</t>
  </si>
  <si>
    <t>781a66c0d89e30814d49fe8b5e14cd07</t>
  </si>
  <si>
    <t>d1aa1ec0839dcab73a6161130eb1f94a</t>
  </si>
  <si>
    <t>07a9bc7f61396b658ddf3ac534efe44c</t>
  </si>
  <si>
    <t>a150c540f572d0fb53992264bc5c10b5</t>
  </si>
  <si>
    <t>6235903333ba7de1928c869e268e5964</t>
  </si>
  <si>
    <t>7994081388d55b9cf976c050653dd359</t>
  </si>
  <si>
    <t>8dd386be0767c330276ea6a3f96532d3</t>
  </si>
  <si>
    <t>d8d9567d0bfb0bc7eb845a205ba42657</t>
  </si>
  <si>
    <t>623ad9d0c1e14bb5464a8c72bff7b4af</t>
  </si>
  <si>
    <t>674207551483fec113276b67b0d871ff</t>
  </si>
  <si>
    <t>9c3a1c416c765687bc79a04113269929</t>
  </si>
  <si>
    <t>0dfbed20065e425d2eaefb101f9816c0</t>
  </si>
  <si>
    <t>9bf11dfc0bec77e5a23028043c3c5a8f</t>
  </si>
  <si>
    <t>1cbcd2ee0afb3fc09963b87eb65e7e4f</t>
  </si>
  <si>
    <t>2c9005d8043aff18b8557ffb7b13cda4</t>
  </si>
  <si>
    <t>782f78b632a43875dd5b53e3e49c9564</t>
  </si>
  <si>
    <t>93bef6edaa84956e8e575016449b6351</t>
  </si>
  <si>
    <t>43b2c864251aa0ce4030c746984e088a</t>
  </si>
  <si>
    <t>011b0eaba87386a2ae96a7d32bb531d1</t>
  </si>
  <si>
    <t>324583d68897f5ddbaf38f6248322176</t>
  </si>
  <si>
    <t>28d162ab86bb49d719c32f0ee6186eaa</t>
  </si>
  <si>
    <t>62de60d81c55c29d76a6bce418b31cef</t>
  </si>
  <si>
    <t>80cfd480be3eb6d6267139f5cb793555</t>
  </si>
  <si>
    <t>f43827dd686be3a4a80e00aa299990fb</t>
  </si>
  <si>
    <t>ec2e006556300a79a5a91e4876ab3a56</t>
  </si>
  <si>
    <t>be67f78487e2cecb0d55bc769709e4f5</t>
  </si>
  <si>
    <t>eaaa46e98c9e61f6764dd1d7a2ab8b3e</t>
  </si>
  <si>
    <t>7bb8fac2913a6064ec412e583c6d8b4d</t>
  </si>
  <si>
    <t>60da8bfa7eebe230b7d66ac4082d79b3</t>
  </si>
  <si>
    <t>443d880f15cbd3572885e1d44bf2c478</t>
  </si>
  <si>
    <t>e09887ca8c7bf8a4621ce481820414ef</t>
  </si>
  <si>
    <t>253c025bab43881055aeecde5e2d8b77</t>
  </si>
  <si>
    <t>b8d890108a7a80e4f5d59eea9f362438</t>
  </si>
  <si>
    <t>2aafae69bf4c41fbd94053d9413e87ee</t>
  </si>
  <si>
    <t>5741dc2bf5044c34d0698681c5081bed</t>
  </si>
  <si>
    <t>db1f0f7c7e5e87f40b62226f020bb297</t>
  </si>
  <si>
    <t>889009a0ed0bb52c87819941192931b8</t>
  </si>
  <si>
    <t>a4fc6eadaff1576af888509a53420f6a</t>
  </si>
  <si>
    <t>247587846358bb1d2e4c6522020b36fe</t>
  </si>
  <si>
    <t>05aebce0b5c8f0d41b29b686f2d05fd3</t>
  </si>
  <si>
    <t>9d213f303afae4983637247556438ede</t>
  </si>
  <si>
    <t>4fae87d32467e18eb46e4a76a0a0b9ce</t>
  </si>
  <si>
    <t>db7ed69a53aa9fb1c01930ba54a88bbe</t>
  </si>
  <si>
    <t>4cc43a222a0f94910728b62b97a8c5f8</t>
  </si>
  <si>
    <t>a2b911e9ad40dc7d61c142a4683e2d85</t>
  </si>
  <si>
    <t>2cb98e27ce1c18abdb42209b34c382a7</t>
  </si>
  <si>
    <t>2d20f1cd18725c91147da0791d498022</t>
  </si>
  <si>
    <t>4fe2f67634d00c021aa01f96b6f2d68e</t>
  </si>
  <si>
    <t>271b8923c6a549e02d3c9fd1f8c0422b</t>
  </si>
  <si>
    <t>028872bfa080090a9d0abd4f1af168f8</t>
  </si>
  <si>
    <t>74a9b9bddf14ece02beb81f52c41a88d</t>
  </si>
  <si>
    <t>79b93a308a97792cf53ac75f46da00b5</t>
  </si>
  <si>
    <t>17998cf586426bf0f2c3726cb0a4b211</t>
  </si>
  <si>
    <t>26562f211dd1364af2a8596dc945e8ae</t>
  </si>
  <si>
    <t>aa8af66c623d7d544dfe4bb85b5ebe3b</t>
  </si>
  <si>
    <t>aa17b35ce4de7b565be3249ba838944f</t>
  </si>
  <si>
    <t>3d2400ac620cffa23ac81bd192f7f555</t>
  </si>
  <si>
    <t>6b2612338467c08c9b25f0cc55b1578d</t>
  </si>
  <si>
    <t>1c742ac33582852aaf3bcfbf5893abcf</t>
  </si>
  <si>
    <t>8fff28c4263ddec387f28d237fb42773</t>
  </si>
  <si>
    <t>918f6fbcf3ab724d805867303e593a1b</t>
  </si>
  <si>
    <t>376d67b61dce0c990155286e7ae486a4</t>
  </si>
  <si>
    <t>270572bb714b00531be85e16e1550f26</t>
  </si>
  <si>
    <t>a7c53f6b3b61adbdaa99dda97e8cbd56</t>
  </si>
  <si>
    <t>a5ff20ff766e7f50bd5066f33da14413</t>
  </si>
  <si>
    <t>65c255b299faf2d12050937cc219c46c</t>
  </si>
  <si>
    <t>00ab3eff1b5192e5f1a63bcecfee11c8</t>
  </si>
  <si>
    <t>7a704e63bb29c446869efde5d57524c8</t>
  </si>
  <si>
    <t>154bdf805377afea75a3bd158e9eab10</t>
  </si>
  <si>
    <t>22a23e5ac7061fc538cc2a019afaaf16</t>
  </si>
  <si>
    <t>166e8f1381e09651983c38b1f6f91c11</t>
  </si>
  <si>
    <t>6d04126aba80df143fd038e711b8fd96</t>
  </si>
  <si>
    <t>d7d517afce974cd491b8d52bb5b5b1fc</t>
  </si>
  <si>
    <t>a72f15980dc3e9bfd1a49ac9b2f3af65</t>
  </si>
  <si>
    <t>dd264199fc8b687ad029de7de6d760e6</t>
  </si>
  <si>
    <t>cac4e0bc1a3269fa2b6ea5e763f6115b</t>
  </si>
  <si>
    <t>2bdb95a56a36ebbc6640337ac5eac174</t>
  </si>
  <si>
    <t>5de1c80811ce7007f62f00d971236c09</t>
  </si>
  <si>
    <t>d598f929fc44e1e38678e7f47250ec04</t>
  </si>
  <si>
    <t>6624bc09786f0e41ae48dfc5eeb1a9e2</t>
  </si>
  <si>
    <t>a56a8043ebf66e42119618fb8cf232c6</t>
  </si>
  <si>
    <t>5305693ffae2d3463377b1f6fe67b15a</t>
  </si>
  <si>
    <t>e4f121bf6ef8b9a1d4d3e65dd0473fab</t>
  </si>
  <si>
    <t>f8f35af4634605e6693c17cc3ffff5a8</t>
  </si>
  <si>
    <t>b86a47b3366e3b5424a7b225781f4908</t>
  </si>
  <si>
    <t>499185655c29ecfdbfe776ef7cf875b5</t>
  </si>
  <si>
    <t>e5bd51692380fd8cabb19b756b95e714</t>
  </si>
  <si>
    <t>dedcab67899479e4ea5dcc4eba47f587</t>
  </si>
  <si>
    <t>29c322e3f09f886f8bacbe91dfbd979e</t>
  </si>
  <si>
    <t>466222e777149751370e7e98fb623b0c</t>
  </si>
  <si>
    <t>bbf4a892cac7b82422baa711dffb8997</t>
  </si>
  <si>
    <t>4aba6a02a788d3ec81c03137144d9a80</t>
  </si>
  <si>
    <t>6187a137b2af59dfdbad8d9f8c373c14</t>
  </si>
  <si>
    <t>a7b7354cc588f7566a848bcbb1ce3d96</t>
  </si>
  <si>
    <t>b5dd7151a92ccaaa282cbe9681a05f44</t>
  </si>
  <si>
    <t>5587130f9850696ed7fafbc91c2cee44</t>
  </si>
  <si>
    <t>da2782c804606d2a5d8e1760dbb3e7ec</t>
  </si>
  <si>
    <t>0f519b0d2e5eb2227c93dd25038bfc01</t>
  </si>
  <si>
    <t>a1bea9970d8f65b240555f99c2214f7f</t>
  </si>
  <si>
    <t>48e5ee06fb2dc74df1c711a9b6dfac2a</t>
  </si>
  <si>
    <t>b452cb0ae35044c4a53179c39f49fb06</t>
  </si>
  <si>
    <t>83f2b4881141ce3fcd4e985125d3279e</t>
  </si>
  <si>
    <t>42d4b7e70819438f5ada61c965e92d7e</t>
  </si>
  <si>
    <t>c6381b1321d7d97717a5bb4ed5b77882</t>
  </si>
  <si>
    <t>43a5d4a57af536fddc96d08be3afdfcb</t>
  </si>
  <si>
    <t>a7d0f8dd44f57ef6de7f7f02e3d82630</t>
  </si>
  <si>
    <t>8132b9bd16876e1b0f8808d43825dd48</t>
  </si>
  <si>
    <t>cd233f8bfa30ebfd651f47ee7d054951</t>
  </si>
  <si>
    <t>8fb67a334bacec338885b4e9e1708073</t>
  </si>
  <si>
    <t>52b53f7061969fe471d119b6195da864</t>
  </si>
  <si>
    <t>dcb7367a92f5ffb89f1e2152ed260285</t>
  </si>
  <si>
    <t>8cb7c5ddf41f4d506eba76e9a4702a25</t>
  </si>
  <si>
    <t>97e50a621f8e801f4baf69e08687c192</t>
  </si>
  <si>
    <t>ca5832c6960267b71041f74bb39e8b12</t>
  </si>
  <si>
    <t>ba8e85df286308fe68a2ce83a8f8b2d6</t>
  </si>
  <si>
    <t>1d0646a72178a6fb37ee8082140e06ec</t>
  </si>
  <si>
    <t>1a8e2d9c38b84a9702ac7922924b0573</t>
  </si>
  <si>
    <t>b3809b8d4394588a47c8470ea331e135</t>
  </si>
  <si>
    <t>9fbd5666d8618fa571c4230fafa09bd6</t>
  </si>
  <si>
    <t>6dd7dce75cd55c1ce255dc38d9f0cd46</t>
  </si>
  <si>
    <t>c8771b1a10bb99bb34d3c459c5cffb53</t>
  </si>
  <si>
    <t>c0f3eea2e14555b6faeea3dd58c1b1c3</t>
  </si>
  <si>
    <t>b3e2faf2c1004d674f16a3aa3197f0e1</t>
  </si>
  <si>
    <t>47f55702f598c7c6cc8458b0fbc1c49a</t>
  </si>
  <si>
    <t>8f0fbe2cd4d472157dc1cdef6edecaa9</t>
  </si>
  <si>
    <t>497709c2976a8fa308730a2dec5b0726</t>
  </si>
  <si>
    <t>bbd3acfe6de99892e73940d3fdceaf68</t>
  </si>
  <si>
    <t>fe9d9cf8631285d5982c6e2cf27fb114</t>
  </si>
  <si>
    <t>c8665a4dd081a2c436b1cd921079d0d9</t>
  </si>
  <si>
    <t>babcc0ab201e4c60188427cae51a5b8b</t>
  </si>
  <si>
    <t>f5b84683a9bf9e1df748cf40f601b39c</t>
  </si>
  <si>
    <t>ec21206b7894c503788a684a7bc822a6</t>
  </si>
  <si>
    <t>8b11118053756a9a2932f447e11fc1b5</t>
  </si>
  <si>
    <t>5a4236931428800e9d9cc04af0987118</t>
  </si>
  <si>
    <t>24a6daf925d9d591870a66660416de31</t>
  </si>
  <si>
    <t>723a46b89fd5c3ed78ccdf039e33ac63</t>
  </si>
  <si>
    <t>f90f77ef2799a27f80d90c425ca944f7</t>
  </si>
  <si>
    <t>a45765f8afb1e594b22bf9e974b46765</t>
  </si>
  <si>
    <t>b5b800c4065bebf4d3442311c9857344</t>
  </si>
  <si>
    <t>76623fde66e6b63b59440fd34160512d</t>
  </si>
  <si>
    <t>9b1f656ca3060f8af17a50d8a024b533</t>
  </si>
  <si>
    <t>392f7f2c797e4dc077e4311bde2ab8ce</t>
  </si>
  <si>
    <t>204b4e07bddef3c9b317f70189135b22</t>
  </si>
  <si>
    <t>85e7c62c1d6ea078c3897424f867a7c8</t>
  </si>
  <si>
    <t>933446e9a59dece7ae9175103820ca8f</t>
  </si>
  <si>
    <t>d4d99b60c4c94cd35acd502cec65dc8d</t>
  </si>
  <si>
    <t>4003520d80d0bad1d5623f7aa3c63cda</t>
  </si>
  <si>
    <t>0a198e95d32b1be2da9424c962a6ebfa</t>
  </si>
  <si>
    <t>3da38366e7bd9baf6369071f782ecdf0</t>
  </si>
  <si>
    <t>f0ec78809fe0bc3edb11c9fe5b97b059</t>
  </si>
  <si>
    <t>d6cd01c59123df02fc226eadbadb5f89</t>
  </si>
  <si>
    <t>4e92348462c75b6c842b994ce84a0ed4</t>
  </si>
  <si>
    <t>b5d034ac251546e25afe9067f05c1539</t>
  </si>
  <si>
    <t>3e51f9cbe317bc3a88f2c76583811ee4</t>
  </si>
  <si>
    <t>3e35a8bb43569389d3cebef0ce820f69</t>
  </si>
  <si>
    <t>a3fa18b3f688ec0fca3eb8bfcbd2d5b3</t>
  </si>
  <si>
    <t>edb65fe661681b1c0de8bd47c8655855</t>
  </si>
  <si>
    <t>d58d521f3789def2e7a22715e0badd93</t>
  </si>
  <si>
    <t>eaf6d55068dea77334e8477d3878d89e</t>
  </si>
  <si>
    <t>d7ab82074b5f1dfba46db123df101bff</t>
  </si>
  <si>
    <t>c13fb473e7cb8b83ccd543c094df0608</t>
  </si>
  <si>
    <t>be7a093e5b4d147b36b72bb1f9e415e5</t>
  </si>
  <si>
    <t>447d377bdb757058acb569025ee18a93</t>
  </si>
  <si>
    <t>7963e546f34e098b578f9ad102494601</t>
  </si>
  <si>
    <t>6ebf4eceee4dd9847201c82e77ef8123</t>
  </si>
  <si>
    <t>391bbd13b6452244774beff1824006ed</t>
  </si>
  <si>
    <t>dd5450b022b2d00a2145a66331e1aef6</t>
  </si>
  <si>
    <t>26f6b7ab07be3e9e69ce82a6552efc19</t>
  </si>
  <si>
    <t>217f005bb37ff3aeef5b2ae1788e75ba</t>
  </si>
  <si>
    <t>a89e143d5211473ae18db9577ee34b64</t>
  </si>
  <si>
    <t>c32fc744b9160ac853450488e3cfea93</t>
  </si>
  <si>
    <t>a2a41aedb70551d4a85aa04dc2fced48</t>
  </si>
  <si>
    <t>9ef932e837d8b7f392c0bfee9d359dc2</t>
  </si>
  <si>
    <t>ac9b01377919cdbd2a1bbb8d5837c70b</t>
  </si>
  <si>
    <t>d9b00a97818674c7f8d8b1ef0e689679</t>
  </si>
  <si>
    <t>2eeb6531ee027a48d401e72bebdd87d3</t>
  </si>
  <si>
    <t>1d953075c2f0dd990bacf27b83b330f1</t>
  </si>
  <si>
    <t>52831e5990d0771cb4951d6f12928167</t>
  </si>
  <si>
    <t>84c945f15571830c1a91a33978e94009</t>
  </si>
  <si>
    <t>f3511c85f59f8dec53d140501ee8e7a8</t>
  </si>
  <si>
    <t>f7c31656c19db6275a8acadca289f426</t>
  </si>
  <si>
    <t>7c462184585ae80bd6e5774c62ce50f2</t>
  </si>
  <si>
    <t>3a3c180dd702a725bd0ba4117689239e</t>
  </si>
  <si>
    <t>6a3139c7bf09ece22a4713d956acbe5e</t>
  </si>
  <si>
    <t>cecd97bc34ed8330bd4cd15713eda670</t>
  </si>
  <si>
    <t>7315baebc0572ff220d226283dc66728</t>
  </si>
  <si>
    <t>75fdd0a732287f9497b179f6bd445d32</t>
  </si>
  <si>
    <t>528ce32f560edd11add4169f6a5b65be</t>
  </si>
  <si>
    <t>07e8e8fc5222bb358e6f259da3197074</t>
  </si>
  <si>
    <t>0af2ab31141893d26aca5a404a537dab</t>
  </si>
  <si>
    <t>c240c4061717ac1806ae6ee72be3533b</t>
  </si>
  <si>
    <t>9996ae921c50e8dff411ac69c0b4bb8b</t>
  </si>
  <si>
    <t>e9e446d01bd10a97a8ffcfc4a3a20cb2</t>
  </si>
  <si>
    <t>8cf21434553b02cbd37c0bbd07e041b0</t>
  </si>
  <si>
    <t>d180e07dc1e58c31c3f0cd599dc4d945</t>
  </si>
  <si>
    <t>9e94fa26a70ede4d26226e918e8706a2</t>
  </si>
  <si>
    <t>c7246702dc991a06d788120dc7544391</t>
  </si>
  <si>
    <t>9140ef75cc8211c4035935e80e567204</t>
  </si>
  <si>
    <t>fe19dce63ae80346207c6c55713d1023</t>
  </si>
  <si>
    <t>2f1e7b90e01d9f086cbcb301c0c3d406</t>
  </si>
  <si>
    <t>258447aad3f7b01e2643c89f64dc5647</t>
  </si>
  <si>
    <t>1d139e3a3b14025640d8df1b230aace0</t>
  </si>
  <si>
    <t>0ee4fb99ac55ffbbc98795aa01b7f8fa</t>
  </si>
  <si>
    <t>7b3447b497e55af8c15fc7bd89d7b81a</t>
  </si>
  <si>
    <t>0936e1837d0c79253456bbb2ffaaef10</t>
  </si>
  <si>
    <t>9ac75591b69c3402684b6ce0310f22ee</t>
  </si>
  <si>
    <t>42fb44130ac3134cde8e35cf8ec7df25</t>
  </si>
  <si>
    <t>3e46a38ee171c503c3b4a3f23fe3bf0c</t>
  </si>
  <si>
    <t>c1552b1dab6e6f760950368ae61fb600</t>
  </si>
  <si>
    <t>720e6cf846ea7572cbb66b743fb91e6c</t>
  </si>
  <si>
    <t>5415337f1863452476d42d9f14a16a61</t>
  </si>
  <si>
    <t>2c2c9832d1bb38c5b0034a3b47d313ee</t>
  </si>
  <si>
    <t>c963a25b8671419c6ce9eebe8fd03218</t>
  </si>
  <si>
    <t>37303482a42fb700d8d127e70a9cd6c8</t>
  </si>
  <si>
    <t>ebe3dabc4955c9b0d695e7bda38bf5c3</t>
  </si>
  <si>
    <t>63704069d9bd3a75c1cf59babe56004a</t>
  </si>
  <si>
    <t>43753b27d77860f1654aa72e251a7878</t>
  </si>
  <si>
    <t>2e2f44824ab87a0cb961f68bf4073e7f</t>
  </si>
  <si>
    <t>1b61fb1f0f2185d89e9a126c498e9cc7</t>
  </si>
  <si>
    <t>89dda63a3c907c468ec88c310ed91213</t>
  </si>
  <si>
    <t>58e4b302b54937e55a678c4d15111da4</t>
  </si>
  <si>
    <t>e0487761face83d64fcada2408959a36</t>
  </si>
  <si>
    <t>8629a7efec1aab257e58cda559f03ba7</t>
  </si>
  <si>
    <t>2ef086a599b597572aca4433b7ed6b3d</t>
  </si>
  <si>
    <t>539ed9e19811677513447759be5eccfc</t>
  </si>
  <si>
    <t>5cf1ec37aea089f45110c70653a166ab</t>
  </si>
  <si>
    <t>ce33c6211beaa8fef4cae8b52db39862</t>
  </si>
  <si>
    <t>51e0557bc7b86de13e946c60ee91ce39</t>
  </si>
  <si>
    <t>d85efbc8eff2b7adf524e2820569adc8</t>
  </si>
  <si>
    <t>70c0fda4c313d87115644d39e62eec60</t>
  </si>
  <si>
    <t>6c9875b2f94ba781186f0c1aed8d1687</t>
  </si>
  <si>
    <t>7494d0dcba8551df6cf37f1b905dc2f7</t>
  </si>
  <si>
    <t>0b1ca3ef18a63d7eb0c8897fa0849c08</t>
  </si>
  <si>
    <t>513a54369b6a8a6602fcb0e129c6d78d</t>
  </si>
  <si>
    <t>3ded4e2d5f135cb103e5949d7263d2dd</t>
  </si>
  <si>
    <t>d4828feed4cda2cd9d6b37899a95a71e</t>
  </si>
  <si>
    <t>d297f1055de2956aedfd3b04113dce3e</t>
  </si>
  <si>
    <t>749e7cdabbaf72f16677859e27874ba5</t>
  </si>
  <si>
    <t>417a1e6c7321084d2a0ae0d023cfad93</t>
  </si>
  <si>
    <t>4125d9385a25e82d2f72d3a0fd55bc3f</t>
  </si>
  <si>
    <t>d4f91e8be86b38da2ee35bc489645a9d</t>
  </si>
  <si>
    <t>16bdc8cefd0e32a6f0824d296c5ad14a</t>
  </si>
  <si>
    <t>9315e491484b1b0081ca166fc164108d</t>
  </si>
  <si>
    <t>cad10cc982ab6a391570c211b995c17c</t>
  </si>
  <si>
    <t>ae9690c6e8fee182c28c9ff8e11ca52c</t>
  </si>
  <si>
    <t>05a48cc8859962767935ab9087417fbb</t>
  </si>
  <si>
    <t>edb58a1390adf273840030a3d6253829</t>
  </si>
  <si>
    <t>84deb808079d1be601c209c1e771b1cc</t>
  </si>
  <si>
    <t>535bf14f36346c7f59d87cece104d70c</t>
  </si>
  <si>
    <t>da3fede3469bf49b7293ce3fc45b294d</t>
  </si>
  <si>
    <t>2c00c85d30361cd2ced2969cffbbffa3</t>
  </si>
  <si>
    <t>e5545d4d4473876ea78c5bcebca365c3</t>
  </si>
  <si>
    <t>1f7dfad2cb384ea4d2d7e1ffbd78c407</t>
  </si>
  <si>
    <t>e595809a6c31ec4314fd06ef198c244d</t>
  </si>
  <si>
    <t>d63f306de130e0391d38a792541723b8</t>
  </si>
  <si>
    <t>15b3b1b81484422eb41df68ac87f1f50</t>
  </si>
  <si>
    <t>2d8cfba3fcd3170555941605edaa196a</t>
  </si>
  <si>
    <t>df683dfda87bf71ac3fc63063fba369d</t>
  </si>
  <si>
    <t>a213f1bd6458f4a158f3746cb2514559</t>
  </si>
  <si>
    <t>c74f14c1e26cf1bd5bd34b6a1e274426</t>
  </si>
  <si>
    <t>baf15155e37ef5492731459bdc05be8a</t>
  </si>
  <si>
    <t>e72b4feb7abe210c52aa667abc25a3a2</t>
  </si>
  <si>
    <t>8b181ee5518df84f18f4e1a43fe07923</t>
  </si>
  <si>
    <t>3d62f86afa7c73be2628a3be1423f5a0</t>
  </si>
  <si>
    <t>7f02656561b680def9986c0795a8a080</t>
  </si>
  <si>
    <t>70ee69419916dc13e3aed619061f996c</t>
  </si>
  <si>
    <t>9558aa23f77a9e0a0eca83540999f43b</t>
  </si>
  <si>
    <t>1f2eebc0e970fd3c463e4f5d9652687a</t>
  </si>
  <si>
    <t>eb4a59a06b3948e851a7d7a830bcbc42</t>
  </si>
  <si>
    <t>3a52d63a8f9daf5a28f3626d7eb9bd28</t>
  </si>
  <si>
    <t>bb7ad8a45c027be8ab075b8e465f8ca0</t>
  </si>
  <si>
    <t>2c54051840f19eca309a5423cf22df36</t>
  </si>
  <si>
    <t>4e2627090e6e5b9fabba883a37897683</t>
  </si>
  <si>
    <t>c161d1327ebc3a156c09582ab2f59f6c</t>
  </si>
  <si>
    <t>9200e6ce317b67196b6b0bad4d4bd567</t>
  </si>
  <si>
    <t>fedaedd3ca31d56ab33e92035e4b361c</t>
  </si>
  <si>
    <t>999f6d9a1c7c81f43be44c6b7d076210</t>
  </si>
  <si>
    <t>630008e0f062605a415d694489f6f82e</t>
  </si>
  <si>
    <t>c716e0b86ed568878475b60fbb6323ad</t>
  </si>
  <si>
    <t>5a32c398a06c345440bf2a683b017ad3</t>
  </si>
  <si>
    <t>baeda7047354773262ba2405f97038ba</t>
  </si>
  <si>
    <t>e0b162a693bc7f9eab00f783a31d60ea</t>
  </si>
  <si>
    <t>6561d6bf844e464b4019442692b40e02</t>
  </si>
  <si>
    <t>cb162c8eef257253782d245c08d9097c</t>
  </si>
  <si>
    <t>c0e6839516f5398edc34adf5f1d53d1a</t>
  </si>
  <si>
    <t>87b4428a334b8f676fd9a7f3bf544fb5</t>
  </si>
  <si>
    <t>3aa3c89ae3cd482385568be76120f63c</t>
  </si>
  <si>
    <t>455f46ef09a9e45667e2981df84b5cc2</t>
  </si>
  <si>
    <t>c2bda99904207edd1834f03e0022b007</t>
  </si>
  <si>
    <t>389e45560e33d2d0747f949dcddbc08e</t>
  </si>
  <si>
    <t>0336182e1b3e92f029d5354832045fdf</t>
  </si>
  <si>
    <t>72c73be2b085b9d57650dd53eb2004c9</t>
  </si>
  <si>
    <t>d7f1cfc638473be93baedbfd02208016</t>
  </si>
  <si>
    <t>28a26ebce31d5918b181ede016fd693b</t>
  </si>
  <si>
    <t>a09a13f18ed27932d08438aa6f12756e</t>
  </si>
  <si>
    <t>32f83ffe11cd40f7adcf4eef171f52d9</t>
  </si>
  <si>
    <t>c43d924a0f1688ee9fae0efcd6f539d4</t>
  </si>
  <si>
    <t>fdf736c18c589ed030e058312203e1b2</t>
  </si>
  <si>
    <t>436bf27f2f18474fc6047702e9f8a866</t>
  </si>
  <si>
    <t>c9d2ba8dde44a275ae06475ed1d2fafc</t>
  </si>
  <si>
    <t>33fd411ed63a7c2f9005e3f065d9f85d</t>
  </si>
  <si>
    <t>b026643914f651e8371425e5b8a1e780</t>
  </si>
  <si>
    <t>7b3f6ce5c6c22e9b96e7581ebf0df6e1</t>
  </si>
  <si>
    <t>bd43e172d599bed47a85da877172ca8c</t>
  </si>
  <si>
    <t>455befea1bb853c75ccbca94cff26e5c</t>
  </si>
  <si>
    <t>41958cbd3335433c8740300e8cd600d5</t>
  </si>
  <si>
    <t>3986c0b54f6b748b75e7bd4e092aa3e5</t>
  </si>
  <si>
    <t>7cb946b1ad19faebe28c3e86c2794ec3</t>
  </si>
  <si>
    <t>7d81e74a4755b552267cd5e081563028</t>
  </si>
  <si>
    <t>bcd2d7510d58e293f20fad6438c1b314</t>
  </si>
  <si>
    <t>1c83418358f249c9d6affa52d579db0e</t>
  </si>
  <si>
    <t>544863df86ed3b78a04e0820d41430ee</t>
  </si>
  <si>
    <t>f09b760d23495ac9a7e00d29b769007c</t>
  </si>
  <si>
    <t>bd65d163ded559eb90a10cd09fec178f</t>
  </si>
  <si>
    <t>a61cc04793308395a840807104365121</t>
  </si>
  <si>
    <t>139157dd4daa45c25b0807ffff348363</t>
  </si>
  <si>
    <t>c0e0b73d039eb9a99b6ce4cb7a429cd3</t>
  </si>
  <si>
    <t>9d69ba0a7a626a64dc5db08e529559cf</t>
  </si>
  <si>
    <t>cad9969167c09b48ae6f1d123f7fa68d</t>
  </si>
  <si>
    <t>82921991ff5b557b045605b8bbf08d49</t>
  </si>
  <si>
    <t>34675b28b826facfde119785bf287dc1</t>
  </si>
  <si>
    <t>38f276ca6e7cc95a6d1bb55ac9e5550f</t>
  </si>
  <si>
    <t>98f52e1020fe788c10c0418de4393fec</t>
  </si>
  <si>
    <t>c97aa4ee7420f937da13b7f9e2228b99</t>
  </si>
  <si>
    <t>b2f4d63c7203f539a78252565ca32257</t>
  </si>
  <si>
    <t>b77a27b1864483e721dc831d5ba4afa0</t>
  </si>
  <si>
    <t>698624c6632eeba1774924dbea24c700</t>
  </si>
  <si>
    <t>c12d7463a579237ffb9248bd7cff378b</t>
  </si>
  <si>
    <t>f1fdf2d13186575751aa25876536d85c</t>
  </si>
  <si>
    <t>87f3e35268860433e13d577825aada95</t>
  </si>
  <si>
    <t>bac44fa8e13424950488659b5f765c41</t>
  </si>
  <si>
    <t>e76ecc7e9a1a1e3c6df9d2a8261c423d</t>
  </si>
  <si>
    <t>d93b8458c6fe139d85cfa5eadbf55bd2</t>
  </si>
  <si>
    <t>804287717b9156fb7a787acd9af4fac1</t>
  </si>
  <si>
    <t>0bb27263628258b8111a0262769fa9db</t>
  </si>
  <si>
    <t>13e85aac53340018b40c2af68001b7e0</t>
  </si>
  <si>
    <t>fb503a924a0b9db19d83dd0ac6dbef8c</t>
  </si>
  <si>
    <t>c1d1ebb4745cc43cb6f05e9c8a705c9a</t>
  </si>
  <si>
    <t>6c77cd583b36a13aacccf2b3ee23e233</t>
  </si>
  <si>
    <t>ce4755084bc097113867e6454f8f5e52</t>
  </si>
  <si>
    <t>eb1bf309f4f6af9a97e9ddac3fdbeabe</t>
  </si>
  <si>
    <t>6bcb2352a2a0c38b845f598298ab9d26</t>
  </si>
  <si>
    <t>0b46f784306be7200ca1700aa55d819f</t>
  </si>
  <si>
    <t>bc8c8d665ec4664d286be0d521722b19</t>
  </si>
  <si>
    <t>5e063e85d44b0f5c3e6ec3131103a57e</t>
  </si>
  <si>
    <t>ed49da7cadefc454d6a67de249eab240</t>
  </si>
  <si>
    <t>c3e2398fcc7e581cda2e546557bf6968</t>
  </si>
  <si>
    <t>20f0aeea30bc3b8c4420be8ced4226c0</t>
  </si>
  <si>
    <t>f9f68daa2af419d38f745478bcb3da1a</t>
  </si>
  <si>
    <t>f3862c2188522d89860c38a3ea8b550d</t>
  </si>
  <si>
    <t>e64ddbe1cbcf4f2fc3092b7c481f3f9d</t>
  </si>
  <si>
    <t>95cca791657aabeff15a07eb152d7841</t>
  </si>
  <si>
    <t>668bf321538e5072858eaef6087ce027</t>
  </si>
  <si>
    <t>bee36b4f9a2b9fdcaff6ec05df202ed0</t>
  </si>
  <si>
    <t>344223b2a90784f64136a8a5da012e7f</t>
  </si>
  <si>
    <t>7caa63f175b1cecbfaadd8b5ab9998c7</t>
  </si>
  <si>
    <t>0f94588695d71662beec8d883ffacf09</t>
  </si>
  <si>
    <t>9e25199f6ef7e7c347120ff175652c3b</t>
  </si>
  <si>
    <t>eae9af4811c294c56795d70e715b7337</t>
  </si>
  <si>
    <t>20d53aad4fe5ee93a64f8839609d3586</t>
  </si>
  <si>
    <t>6614814a00d344b846ae209f95ee7e3f</t>
  </si>
  <si>
    <t>5b92bfa4120daa27c574daa2e386c693</t>
  </si>
  <si>
    <t>c18309219e789960add0b2255ca4b091</t>
  </si>
  <si>
    <t>7ab0dd5487bab2dc835337b244f689fb</t>
  </si>
  <si>
    <t>b5f0712d22a873b6797ab6cc65c3fcba</t>
  </si>
  <si>
    <t>cc1f04647be106ba74e62b21f358af25</t>
  </si>
  <si>
    <t>c1dde11f12d05c478f5de2d7319ad3b2</t>
  </si>
  <si>
    <t>ab75b89cc49c9ab3160d0c91565a442a</t>
  </si>
  <si>
    <t>3ac588cd562971392504a9e17130c40b</t>
  </si>
  <si>
    <t>ad14615bdd492b01b0d97922e87cb87f</t>
  </si>
  <si>
    <t>702835e4b785b67a084280efca355756</t>
  </si>
  <si>
    <t>4965a7002cca77301c82d3f91b82e1a9</t>
  </si>
  <si>
    <t>1fa2d3def6adfa70e58c276bb64fe5bb</t>
  </si>
  <si>
    <t>77128dec4bec4878c37ab7d6169d6f26</t>
  </si>
  <si>
    <t>month_year</t>
  </si>
  <si>
    <t>2016-09</t>
  </si>
  <si>
    <t>2016-10</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</si>
  <si>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</si>
  <si>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</si>
  <si>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</si>
  <si>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</si>
  <si>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</si>
  <si>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</si>
  <si>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</si>
  <si>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</si>
  <si>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</si>
  <si>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</si>
  <si>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</si>
  <si>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</si>
  <si>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</si>
  <si>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</si>
  <si>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</si>
  <si>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</si>
  <si>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</si>
  <si>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</si>
  <si>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</si>
  <si>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</si>
  <si>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</si>
  <si>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AC</t>
  </si>
  <si>
    <t>Acre</t>
  </si>
  <si>
    <t>customer_state</t>
  </si>
  <si>
    <t>AL</t>
  </si>
  <si>
    <t>TO</t>
  </si>
  <si>
    <t>AP</t>
  </si>
  <si>
    <t>RR</t>
  </si>
  <si>
    <t>Tocantins</t>
  </si>
  <si>
    <t>Alagoas</t>
  </si>
  <si>
    <t>Amazonas</t>
  </si>
  <si>
    <t>Amapá</t>
  </si>
  <si>
    <t>Bahia</t>
  </si>
  <si>
    <t>Ceará</t>
  </si>
  <si>
    <t>Distrito Federal</t>
  </si>
  <si>
    <t>Espírito Santo</t>
  </si>
  <si>
    <t>Goiás</t>
  </si>
  <si>
    <t>Maranhão</t>
  </si>
  <si>
    <t>Minas Gerais</t>
  </si>
  <si>
    <t>Mato Grosso do Sul</t>
  </si>
  <si>
    <t>Mato Grosso</t>
  </si>
  <si>
    <t>Pará</t>
  </si>
  <si>
    <t>Paraíba</t>
  </si>
  <si>
    <t>Pernambuco</t>
  </si>
  <si>
    <t>Piauí</t>
  </si>
  <si>
    <t>Paraná</t>
  </si>
  <si>
    <t>Rio de Janeiro</t>
  </si>
  <si>
    <t>Rio Grande do Norte</t>
  </si>
  <si>
    <t>Rondônia</t>
  </si>
  <si>
    <t>Roraima</t>
  </si>
  <si>
    <t>Rio Grande do Sul</t>
  </si>
  <si>
    <t>Santa Catarina</t>
  </si>
  <si>
    <t>Sergipe</t>
  </si>
  <si>
    <t>São Paulo</t>
  </si>
  <si>
    <t>Threshold</t>
  </si>
  <si>
    <t>Tier</t>
  </si>
  <si>
    <t>Bronze</t>
  </si>
  <si>
    <t>Silver</t>
  </si>
  <si>
    <t>Gold</t>
  </si>
  <si>
    <t>Platinum</t>
  </si>
  <si>
    <t>SELLER SCORECARD — TOP 20</t>
  </si>
  <si>
    <t>Seller ID</t>
  </si>
  <si>
    <t>State</t>
  </si>
  <si>
    <t>State Name</t>
  </si>
  <si>
    <t>Orders</t>
  </si>
  <si>
    <t>Revenue</t>
  </si>
  <si>
    <t>Avg Review</t>
  </si>
  <si>
    <t>On-Time %</t>
  </si>
  <si>
    <t>Rank</t>
  </si>
  <si>
    <t>Year</t>
  </si>
  <si>
    <t>HLOOKUP</t>
  </si>
  <si>
    <t>INDEX/MATCH</t>
  </si>
  <si>
    <t>Row Labels</t>
  </si>
  <si>
    <t>Grand Total</t>
  </si>
  <si>
    <t>Sum of revenue</t>
  </si>
  <si>
    <t>Average of avg_review_score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</si>
</sst>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_-[$R$-416]\ * #,##0.00_-;\-[$R$-416]\ * #,##0.00_-;_-[$R$-416]\ * &quot;-&quot;??_-;_-@_-"/>
  </numFmts>
  <fonts count="3" x14ac:knownFonts="1">
    <font>
      <sz val="11"/>
      <color theme="1"/>
      <name val="Rockwell"/>
      <family val="2"/>
      <scheme val="minor"/>
    </font>
    <font>
      <sz val="11"/>
      <color rgb="FF24292E"/>
      <name val="Consolas"/>
      <family val="3"/>
    </font>
    <font>
      <b/>
      <u/>
      <sz val="16"/>
      <color rgb="FF2E2B29"/>
      <name val="Consolas"/>
      <family val="3"/>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1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0" fillId="0" borderId="1" xfId="0" applyBorder="1"/>
    <xf numFmtId="0" fontId="2" fillId="0" borderId="0" xfId="0" applyFont="1" applyAlignment="1">
      <alignment horizontal="center"/>
    </xf>
    <xf numFmtId="0" fontId="1" fillId="0" borderId="1" xfId="0" applyFont="1" applyBorder="1" applyAlignment="1">
      <alignment horizontal="center" vertical="center"/>
    </xf>
    <xf numFmtId="0" fontId="0" fillId="0" borderId="1" xfId="0" applyBorder="1" applyAlignment="1">
      <alignment horizontal="center"/>
    </xf>
    <xf numFmtId="0" fontId="0" fillId="2" borderId="1" xfId="0" applyFill="1" applyBorder="1" applyAlignment="1">
      <alignment horizontal="center"/>
    </xf>
    <xf numFmtId="166"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[Olist_Executive_Workbook.xlsx]Dashboard!PivotTable1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State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Dashboard!$B$3</c:f>
              <c:strCache>
                <c:ptCount val="1"/>
                <c:pt idx="0">
                  <c:v>Total</c:v>
                </c:pt>
              </c:strCache>
            </c:strRef>
          </c:tx>
          <c:spPr>
            <a:solidFill>
              <a:schemeClr val="accent4"/>
            </a:solidFill>
            <a:ln>
              <a:noFill/>
            </a:ln>
            <a:effectLst/>
          </c:spPr>
          <c:invertIfNegative val="0"/>
          <c:cat>
            <c:strRef>
              <c:f>Dashboard!$A$4:$A$26</c:f>
              <c:strCache>
                <c:ptCount val="22"/>
                <c:pt idx="0">
                  <c:v>AM</c:v>
                </c:pt>
                <c:pt idx="1">
                  <c:v>BA</c:v>
                </c:pt>
                <c:pt idx="2">
                  <c:v>CE</c:v>
                </c:pt>
                <c:pt idx="3">
                  <c:v>DF</c:v>
                </c:pt>
                <c:pt idx="4">
                  <c:v>ES</c:v>
                </c:pt>
                <c:pt idx="5">
                  <c:v>GO</c:v>
                </c:pt>
                <c:pt idx="6">
                  <c:v>MA</c:v>
                </c:pt>
                <c:pt idx="7">
                  <c:v>MG</c:v>
                </c:pt>
                <c:pt idx="8">
                  <c:v>MS</c:v>
                </c:pt>
                <c:pt idx="9">
                  <c:v>MT</c:v>
                </c:pt>
                <c:pt idx="10">
                  <c:v>PA</c:v>
                </c:pt>
                <c:pt idx="11">
                  <c:v>PB</c:v>
                </c:pt>
                <c:pt idx="12">
                  <c:v>PE</c:v>
                </c:pt>
                <c:pt idx="13">
                  <c:v>PI</c:v>
                </c:pt>
                <c:pt idx="14">
                  <c:v>PR</c:v>
                </c:pt>
                <c:pt idx="15">
                  <c:v>RJ</c:v>
                </c:pt>
                <c:pt idx="16">
                  <c:v>RN</c:v>
                </c:pt>
                <c:pt idx="17">
                  <c:v>RO</c:v>
                </c:pt>
                <c:pt idx="18">
                  <c:v>RS</c:v>
                </c:pt>
                <c:pt idx="19">
                  <c:v>SC</c:v>
                </c:pt>
                <c:pt idx="20">
                  <c:v>SE</c:v>
                </c:pt>
                <c:pt idx="21">
                  <c:v>SP</c:v>
                </c:pt>
              </c:strCache>
            </c:strRef>
          </c:cat>
          <c:val>
            <c:numRef>
              <c:f>Dashboard!$B$4:$B$26</c:f>
              <c:numCache>
                <c:formatCode>General</c:formatCode>
                <c:ptCount val="22"/>
                <c:pt idx="0">
                  <c:v>1258.8</c:v>
                </c:pt>
                <c:pt idx="1">
                  <c:v>297146.93</c:v>
                </c:pt>
                <c:pt idx="2">
                  <c:v>23724.050000000003</c:v>
                </c:pt>
                <c:pt idx="3">
                  <c:v>112892.78000000007</c:v>
                </c:pt>
                <c:pt idx="4">
                  <c:v>58853.489999999991</c:v>
                </c:pt>
                <c:pt idx="5">
                  <c:v>77089.48</c:v>
                </c:pt>
                <c:pt idx="6">
                  <c:v>48169.5</c:v>
                </c:pt>
                <c:pt idx="7">
                  <c:v>1184427.5399999991</c:v>
                </c:pt>
                <c:pt idx="8">
                  <c:v>9750.6499999999978</c:v>
                </c:pt>
                <c:pt idx="9">
                  <c:v>21623.67</c:v>
                </c:pt>
                <c:pt idx="10">
                  <c:v>1393.11</c:v>
                </c:pt>
                <c:pt idx="11">
                  <c:v>17844.429999999997</c:v>
                </c:pt>
                <c:pt idx="12">
                  <c:v>103486.10000000002</c:v>
                </c:pt>
                <c:pt idx="13">
                  <c:v>2791.55</c:v>
                </c:pt>
                <c:pt idx="14">
                  <c:v>1424161.2499999986</c:v>
                </c:pt>
                <c:pt idx="15">
                  <c:v>911918.66999999981</c:v>
                </c:pt>
                <c:pt idx="16">
                  <c:v>11296.71</c:v>
                </c:pt>
                <c:pt idx="17">
                  <c:v>5474.98</c:v>
                </c:pt>
                <c:pt idx="18">
                  <c:v>429749.08999999985</c:v>
                </c:pt>
                <c:pt idx="19">
                  <c:v>717739.36999999953</c:v>
                </c:pt>
                <c:pt idx="20">
                  <c:v>1924.69</c:v>
                </c:pt>
                <c:pt idx="21">
                  <c:v>9957056.9099999871</c:v>
                </c:pt>
              </c:numCache>
            </c:numRef>
          </c:val>
          <c:extLst>
            <c:ext xmlns:c16="http://schemas.microsoft.com/office/drawing/2014/chart" uri="{C3380CC4-5D6E-409C-BE32-E72D297353CC}">
              <c16:uniqueId val="{00000000-E727-4AAE-8A35-B826A0657DB9}"/>
            </c:ext>
          </c:extLst>
        </c:ser>
        <c:dLbls>
          <c:showLegendKey val="0"/>
          <c:showVal val="0"/>
          <c:showCatName val="0"/>
          <c:showSerName val="0"/>
          <c:showPercent val="0"/>
          <c:showBubbleSize val="0"/>
        </c:dLbls>
        <c:gapWidth val="219"/>
        <c:overlap val="-27"/>
        <c:axId val="1767590783"/>
        <c:axId val="1618234655"/>
      </c:barChart>
      <c:catAx>
        <c:axId val="176759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234655"/>
        <c:crosses val="autoZero"/>
        <c:auto val="1"/>
        <c:lblAlgn val="ctr"/>
        <c:lblOffset val="100"/>
        <c:noMultiLvlLbl val="0"/>
      </c:catAx>
      <c:valAx>
        <c:axId val="1618234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590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[Olist_Executive_Workbook.xlsx]Dashboard!PivotTable3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600" b="0" i="0" u="none" strike="noStrike" baseline="0">
                <a:effectLst/>
              </a:rPr>
              <a:t>Avg Review by State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4">
                  <a:tint val="94000"/>
                  <a:satMod val="100000"/>
                  <a:lumMod val="104000"/>
                </a:schemeClr>
              </a:gs>
              <a:gs pos="69000">
                <a:schemeClr val="accent4">
                  <a:shade val="86000"/>
                  <a:satMod val="130000"/>
                  <a:lumMod val="102000"/>
                </a:schemeClr>
              </a:gs>
              <a:gs pos="100000">
                <a:schemeClr val="accent4">
                  <a:shade val="72000"/>
                  <a:satMod val="130000"/>
                  <a:lumMod val="100000"/>
                </a:schemeClr>
              </a:gs>
            </a:gsLst>
            <a:lin ang="5400000" scaled="0"/>
          </a:gradFill>
          <a:ln>
            <a:noFill/>
          </a:ln>
          <a:effectLst>
            <a:outerShdw blurRad="50800" dist="38100" dir="5400000" sy="96000" rotWithShape="0">
              <a:srgbClr val="000000">
                <a:alpha val="54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Dashboard!$B$30</c:f>
              <c:strCache>
                <c:ptCount val="1"/>
                <c:pt idx="0">
                  <c:v>Total</c:v>
                </c:pt>
              </c:strCache>
            </c:strRef>
          </c:tx>
          <c:spPr>
            <a:gradFill rotWithShape="1">
              <a:gsLst>
                <a:gs pos="0">
                  <a:schemeClr val="accent4">
                    <a:tint val="94000"/>
                    <a:satMod val="100000"/>
                    <a:lumMod val="104000"/>
                  </a:schemeClr>
                </a:gs>
                <a:gs pos="69000">
                  <a:schemeClr val="accent4">
                    <a:shade val="86000"/>
                    <a:satMod val="130000"/>
                    <a:lumMod val="102000"/>
                  </a:schemeClr>
                </a:gs>
                <a:gs pos="100000">
                  <a:schemeClr val="accent4">
                    <a:shade val="72000"/>
                    <a:satMod val="130000"/>
                    <a:lumMod val="100000"/>
                  </a:schemeClr>
                </a:gs>
              </a:gsLst>
              <a:lin ang="5400000" scaled="0"/>
            </a:gradFill>
            <a:ln>
              <a:noFill/>
            </a:ln>
            <a:effectLst>
              <a:outerShdw blurRad="50800" dist="38100" dir="5400000" sy="96000" rotWithShape="0">
                <a:srgbClr val="000000">
                  <a:alpha val="54000"/>
                </a:srgbClr>
              </a:outerShdw>
            </a:effectLst>
          </c:spPr>
          <c:invertIfNegative val="0"/>
          <c:cat>
            <c:strRef>
              <c:f>Dashboard!$A$31:$A$53</c:f>
              <c:strCache>
                <c:ptCount val="22"/>
                <c:pt idx="0">
                  <c:v>AM</c:v>
                </c:pt>
                <c:pt idx="1">
                  <c:v>BA</c:v>
                </c:pt>
                <c:pt idx="2">
                  <c:v>CE</c:v>
                </c:pt>
                <c:pt idx="3">
                  <c:v>DF</c:v>
                </c:pt>
                <c:pt idx="4">
                  <c:v>ES</c:v>
                </c:pt>
                <c:pt idx="5">
                  <c:v>GO</c:v>
                </c:pt>
                <c:pt idx="6">
                  <c:v>MA</c:v>
                </c:pt>
                <c:pt idx="7">
                  <c:v>MG</c:v>
                </c:pt>
                <c:pt idx="8">
                  <c:v>MS</c:v>
                </c:pt>
                <c:pt idx="9">
                  <c:v>MT</c:v>
                </c:pt>
                <c:pt idx="10">
                  <c:v>PA</c:v>
                </c:pt>
                <c:pt idx="11">
                  <c:v>PB</c:v>
                </c:pt>
                <c:pt idx="12">
                  <c:v>PE</c:v>
                </c:pt>
                <c:pt idx="13">
                  <c:v>PI</c:v>
                </c:pt>
                <c:pt idx="14">
                  <c:v>PR</c:v>
                </c:pt>
                <c:pt idx="15">
                  <c:v>RJ</c:v>
                </c:pt>
                <c:pt idx="16">
                  <c:v>RN</c:v>
                </c:pt>
                <c:pt idx="17">
                  <c:v>RO</c:v>
                </c:pt>
                <c:pt idx="18">
                  <c:v>RS</c:v>
                </c:pt>
                <c:pt idx="19">
                  <c:v>SC</c:v>
                </c:pt>
                <c:pt idx="20">
                  <c:v>SE</c:v>
                </c:pt>
                <c:pt idx="21">
                  <c:v>SP</c:v>
                </c:pt>
              </c:strCache>
            </c:strRef>
          </c:cat>
          <c:val>
            <c:numRef>
              <c:f>Dashboard!$B$31:$B$53</c:f>
              <c:numCache>
                <c:formatCode>General</c:formatCode>
                <c:ptCount val="22"/>
                <c:pt idx="0">
                  <c:v>2.33</c:v>
                </c:pt>
                <c:pt idx="1">
                  <c:v>4.2377777777777776</c:v>
                </c:pt>
                <c:pt idx="2">
                  <c:v>3.7949999999999999</c:v>
                </c:pt>
                <c:pt idx="3">
                  <c:v>4.0580000000000007</c:v>
                </c:pt>
                <c:pt idx="4">
                  <c:v>4.3831818181818178</c:v>
                </c:pt>
                <c:pt idx="5">
                  <c:v>4.1876923076923074</c:v>
                </c:pt>
                <c:pt idx="6">
                  <c:v>4.0199999999999996</c:v>
                </c:pt>
                <c:pt idx="7">
                  <c:v>4.1908510638297871</c:v>
                </c:pt>
                <c:pt idx="8">
                  <c:v>4.2900000000000009</c:v>
                </c:pt>
                <c:pt idx="9">
                  <c:v>4.2225000000000001</c:v>
                </c:pt>
                <c:pt idx="10">
                  <c:v>4.5</c:v>
                </c:pt>
                <c:pt idx="11">
                  <c:v>4.3049999999999997</c:v>
                </c:pt>
                <c:pt idx="12">
                  <c:v>4.1188888888888888</c:v>
                </c:pt>
                <c:pt idx="13">
                  <c:v>4.3600000000000003</c:v>
                </c:pt>
                <c:pt idx="14">
                  <c:v>4.2199399399399402</c:v>
                </c:pt>
                <c:pt idx="15">
                  <c:v>4.1680981595092028</c:v>
                </c:pt>
                <c:pt idx="16">
                  <c:v>4.4880000000000004</c:v>
                </c:pt>
                <c:pt idx="17">
                  <c:v>3.855</c:v>
                </c:pt>
                <c:pt idx="18">
                  <c:v>4.1312800000000003</c:v>
                </c:pt>
                <c:pt idx="19">
                  <c:v>4.2261413043478253</c:v>
                </c:pt>
                <c:pt idx="20">
                  <c:v>3.9</c:v>
                </c:pt>
                <c:pt idx="21">
                  <c:v>4.1230843237125132</c:v>
                </c:pt>
              </c:numCache>
            </c:numRef>
          </c:val>
          <c:extLst>
            <c:ext xmlns:c16="http://schemas.microsoft.com/office/drawing/2014/chart" uri="{C3380CC4-5D6E-409C-BE32-E72D297353CC}">
              <c16:uniqueId val="{00000000-E24F-4B04-9FBF-42296BC13E86}"/>
            </c:ext>
          </c:extLst>
        </c:ser>
        <c:dLbls>
          <c:showLegendKey val="0"/>
          <c:showVal val="0"/>
          <c:showCatName val="0"/>
          <c:showSerName val="0"/>
          <c:showPercent val="0"/>
          <c:showBubbleSize val="0"/>
        </c:dLbls>
        <c:gapWidth val="100"/>
        <c:axId val="1767586143"/>
        <c:axId val="1761475807"/>
      </c:barChart>
      <c:catAx>
        <c:axId val="176758614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61475807"/>
        <c:crosses val="autoZero"/>
        <c:auto val="1"/>
        <c:lblAlgn val="ctr"/>
        <c:lblOffset val="100"/>
        <c:noMultiLvlLbl val="0"/>
      </c:catAx>
      <c:valAx>
        <c:axId val="1761475807"/>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6758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0" i="0" u="none" strike="noStrike" baseline="0">
                <a:effectLst/>
              </a:rPr>
              <a:t>Monthly Revenue Trend</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Monthly!$C$1</c:f>
              <c:strCache>
                <c:ptCount val="1"/>
                <c:pt idx="0">
                  <c:v>revenue</c:v>
                </c:pt>
              </c:strCache>
            </c:strRef>
          </c:tx>
          <c:spPr>
            <a:ln w="34925" cap="rnd">
              <a:solidFill>
                <a:schemeClr val="accent4">
                  <a:shade val="76000"/>
                </a:schemeClr>
              </a:solidFill>
              <a:round/>
            </a:ln>
            <a:effectLst>
              <a:outerShdw blurRad="76200" dist="38100" dir="5400000" algn="ctr" rotWithShape="0">
                <a:srgbClr val="000000">
                  <a:alpha val="76000"/>
                </a:srgbClr>
              </a:outerShdw>
            </a:effectLst>
          </c:spPr>
          <c:marker>
            <c:symbol val="none"/>
          </c:marker>
          <c:cat>
            <c:strRef>
              <c:f>Monthly!$A$2:$A$24</c:f>
              <c:strCache>
                <c:ptCount val="23"/>
                <c:pt idx="0">
                  <c:v>2016-09</c:v>
                </c:pt>
                <c:pt idx="1">
                  <c:v>2016-10</c:v>
                </c:pt>
                <c:pt idx="2">
                  <c:v>2016-12</c:v>
                </c:pt>
                <c:pt idx="3">
                  <c:v>2017-01</c:v>
                </c:pt>
                <c:pt idx="4">
                  <c:v>2017-02</c:v>
                </c:pt>
                <c:pt idx="5">
                  <c:v>2017-03</c:v>
                </c:pt>
                <c:pt idx="6">
                  <c:v>2017-04</c:v>
                </c:pt>
                <c:pt idx="7">
                  <c:v>2017-05</c:v>
                </c:pt>
                <c:pt idx="8">
                  <c:v>2017-06</c:v>
                </c:pt>
                <c:pt idx="9">
                  <c:v>2017-07</c:v>
                </c:pt>
                <c:pt idx="10">
                  <c:v>2017-08</c:v>
                </c:pt>
                <c:pt idx="11">
                  <c:v>2017-09</c:v>
                </c:pt>
                <c:pt idx="12">
                  <c:v>2017-10</c:v>
                </c:pt>
                <c:pt idx="13">
                  <c:v>2017-11</c:v>
                </c:pt>
                <c:pt idx="14">
                  <c:v>2017-12</c:v>
                </c:pt>
                <c:pt idx="15">
                  <c:v>2018-01</c:v>
                </c:pt>
                <c:pt idx="16">
                  <c:v>2018-02</c:v>
                </c:pt>
                <c:pt idx="17">
                  <c:v>2018-03</c:v>
                </c:pt>
                <c:pt idx="18">
                  <c:v>2018-04</c:v>
                </c:pt>
                <c:pt idx="19">
                  <c:v>2018-05</c:v>
                </c:pt>
                <c:pt idx="20">
                  <c:v>2018-06</c:v>
                </c:pt>
                <c:pt idx="21">
                  <c:v>2018-07</c:v>
                </c:pt>
                <c:pt idx="22">
                  <c:v>2018-08</c:v>
                </c:pt>
              </c:strCache>
            </c:strRef>
          </c:cat>
          <c:val>
            <c:numRef>
              <c:f>Monthly!$C$2:$C$24</c:f>
              <c:numCache>
                <c:formatCode>_-[$R$-416]\ * #,##0.00_-;\-[$R$-416]\ * #,##0.00_-;_-[$R$-416]\ * "-"??_-;_-@_-</c:formatCode>
                <c:ptCount val="23"/>
                <c:pt idx="0">
                  <c:v>143</c:v>
                </c:pt>
                <c:pt idx="1">
                  <c:v>46491</c:v>
                </c:pt>
                <c:pt idx="2">
                  <c:v>20</c:v>
                </c:pt>
                <c:pt idx="3">
                  <c:v>127482</c:v>
                </c:pt>
                <c:pt idx="4">
                  <c:v>271239</c:v>
                </c:pt>
                <c:pt idx="5">
                  <c:v>414331</c:v>
                </c:pt>
                <c:pt idx="6">
                  <c:v>390812</c:v>
                </c:pt>
                <c:pt idx="7">
                  <c:v>566851</c:v>
                </c:pt>
                <c:pt idx="8">
                  <c:v>490050</c:v>
                </c:pt>
                <c:pt idx="9">
                  <c:v>566299</c:v>
                </c:pt>
                <c:pt idx="10">
                  <c:v>645832</c:v>
                </c:pt>
                <c:pt idx="11">
                  <c:v>701077</c:v>
                </c:pt>
                <c:pt idx="12">
                  <c:v>751117</c:v>
                </c:pt>
                <c:pt idx="13">
                  <c:v>1153364</c:v>
                </c:pt>
                <c:pt idx="14">
                  <c:v>843078</c:v>
                </c:pt>
                <c:pt idx="15">
                  <c:v>1077887</c:v>
                </c:pt>
                <c:pt idx="16">
                  <c:v>966168</c:v>
                </c:pt>
                <c:pt idx="17">
                  <c:v>1120598</c:v>
                </c:pt>
                <c:pt idx="18">
                  <c:v>1132879</c:v>
                </c:pt>
                <c:pt idx="19">
                  <c:v>1128775</c:v>
                </c:pt>
                <c:pt idx="20">
                  <c:v>1011978</c:v>
                </c:pt>
                <c:pt idx="21">
                  <c:v>1027807</c:v>
                </c:pt>
                <c:pt idx="22">
                  <c:v>985492</c:v>
                </c:pt>
              </c:numCache>
            </c:numRef>
          </c:val>
          <c:smooth val="0"/>
          <c:extLst>
            <c:ext xmlns:c16="http://schemas.microsoft.com/office/drawing/2014/chart" uri="{C3380CC4-5D6E-409C-BE32-E72D297353CC}">
              <c16:uniqueId val="{00000000-1986-4150-948B-17E822D19971}"/>
            </c:ext>
          </c:extLst>
        </c:ser>
        <c:dLbls>
          <c:showLegendKey val="0"/>
          <c:showVal val="0"/>
          <c:showCatName val="0"/>
          <c:showSerName val="0"/>
          <c:showPercent val="0"/>
          <c:showBubbleSize val="0"/>
        </c:dLbls>
        <c:smooth val="0"/>
        <c:axId val="1895332303"/>
        <c:axId val="1761505087"/>
      </c:lineChart>
      <c:catAx>
        <c:axId val="18953323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505087"/>
        <c:crosses val="autoZero"/>
        <c:auto val="1"/>
        <c:lblAlgn val="ctr"/>
        <c:lblOffset val="100"/>
        <c:noMultiLvlLbl val="0"/>
      </c:catAx>
      <c:valAx>
        <c:axId val="1761505087"/>
        <c:scaling>
          <c:orientation val="minMax"/>
        </c:scaling>
        <c:delete val="0"/>
        <c:axPos val="l"/>
        <c:majorGridlines>
          <c:spPr>
            <a:ln w="9525" cap="flat" cmpd="sng" algn="ctr">
              <a:solidFill>
                <a:schemeClr val="tx1">
                  <a:lumMod val="15000"/>
                  <a:lumOff val="85000"/>
                </a:schemeClr>
              </a:solidFill>
              <a:round/>
            </a:ln>
            <a:effectLst/>
          </c:spPr>
        </c:majorGridlines>
        <c:numFmt formatCode="_-[$R$-416]\ * #,##0.00_-;\-[$R$-416]\ * #,##0.00_-;_-[$R$-416]\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3323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10</xdr:col>
      <xdr:colOff>125187</xdr:colOff>
      <xdr:row>2</xdr:row>
      <xdr:rowOff>171450</xdr:rowOff>
    </xdr:from>
    <xdr:to>
      <xdr:col>12</xdr:col>
      <xdr:colOff>206830</xdr:colOff>
      <xdr:row>11</xdr:row>
      <xdr:rowOff>95250</xdr:rowOff>
    </xdr:to>
    <mc:AlternateContent xmlns:mc="http://schemas.openxmlformats.org/markup-compatibility/2006" xmlns:a14="http://schemas.microsoft.com/office/drawing/2010/main">
      <mc:Choice Requires="a14">
        <xdr:graphicFrame macro="">
          <xdr:nvGraphicFramePr>
            <xdr:cNvPr id="2" name="seller_state">
              <a:extLst>
                <a:ext uri="{FF2B5EF4-FFF2-40B4-BE49-F238E27FC236}">
                  <a16:creationId xmlns:a16="http://schemas.microsoft.com/office/drawing/2014/main" id="{6E5D7EBB-E4E5-A3FA-595F-482516BC137B}"/>
                </a:ext>
              </a:extLst>
            </xdr:cNvPr>
            <xdr:cNvGraphicFramePr/>
          </xdr:nvGraphicFramePr>
          <xdr:xfrm>
            <a:off x="0" y="0"/>
            <a:ext cx="0" cy="0"/>
          </xdr:xfrm>
          <a:graphic>
            <a:graphicData uri="http://schemas.microsoft.com/office/drawing/2010/slicer">
              <sle:slicer xmlns:sle="http://schemas.microsoft.com/office/drawing/2010/slicer" name="seller_state"/>
            </a:graphicData>
          </a:graphic>
        </xdr:graphicFrame>
      </mc:Choice>
      <mc:Fallback xmlns="">
        <xdr:sp macro="" textlink="">
          <xdr:nvSpPr>
            <xdr:cNvPr id="0" name=""/>
            <xdr:cNvSpPr>
              <a:spLocks noTextEdit="1"/>
            </xdr:cNvSpPr>
          </xdr:nvSpPr>
          <xdr:spPr>
            <a:xfrm>
              <a:off x="7563758" y="534307"/>
              <a:ext cx="1406071" cy="1556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15422</xdr:colOff>
      <xdr:row>1</xdr:row>
      <xdr:rowOff>10432</xdr:rowOff>
    </xdr:from>
    <xdr:to>
      <xdr:col>10</xdr:col>
      <xdr:colOff>80922</xdr:colOff>
      <xdr:row>14</xdr:row>
      <xdr:rowOff>171861</xdr:rowOff>
    </xdr:to>
    <xdr:graphicFrame macro="">
      <xdr:nvGraphicFramePr>
        <xdr:cNvPr id="3" name="Chart 2">
          <a:extLst>
            <a:ext uri="{FF2B5EF4-FFF2-40B4-BE49-F238E27FC236}">
              <a16:creationId xmlns:a16="http://schemas.microsoft.com/office/drawing/2014/main" id="{561C9794-C92B-40C2-D96A-C6B3CD812D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583293</xdr:colOff>
      <xdr:row>31</xdr:row>
      <xdr:rowOff>10432</xdr:rowOff>
    </xdr:from>
    <xdr:to>
      <xdr:col>10</xdr:col>
      <xdr:colOff>41008</xdr:colOff>
      <xdr:row>44</xdr:row>
      <xdr:rowOff>171861</xdr:rowOff>
    </xdr:to>
    <xdr:graphicFrame macro="">
      <xdr:nvGraphicFramePr>
        <xdr:cNvPr id="4" name="Chart 3">
          <a:extLst>
            <a:ext uri="{FF2B5EF4-FFF2-40B4-BE49-F238E27FC236}">
              <a16:creationId xmlns:a16="http://schemas.microsoft.com/office/drawing/2014/main" id="{F235E50B-0554-3F65-A2C5-E1F3410CB6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2721</xdr:colOff>
      <xdr:row>15</xdr:row>
      <xdr:rowOff>175985</xdr:rowOff>
    </xdr:from>
    <xdr:to>
      <xdr:col>10</xdr:col>
      <xdr:colOff>68221</xdr:colOff>
      <xdr:row>29</xdr:row>
      <xdr:rowOff>155985</xdr:rowOff>
    </xdr:to>
    <xdr:graphicFrame macro="">
      <xdr:nvGraphicFramePr>
        <xdr:cNvPr id="12" name="Chart 11">
          <a:extLst>
            <a:ext uri="{FF2B5EF4-FFF2-40B4-BE49-F238E27FC236}">
              <a16:creationId xmlns:a16="http://schemas.microsoft.com/office/drawing/2014/main" id="{2E0F808F-E021-4497-8BEA-99DAEF0B43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kshith Gowda" refreshedDate="46273.890909953705" createdVersion="8" refreshedVersion="8" minRefreshableVersion="3" recordCount="2970" xr:uid="{03AA5491-37B1-4014-9664-3D70F9CCF0C2}">
  <cacheSource type="worksheet">
    <worksheetSource ref="A1:G2971" sheet="Data"/>
  </cacheSource>
  <cacheFields count="7">
    <cacheField name="seller_id" numFmtId="0">
      <sharedItems/>
    </cacheField>
    <cacheField name="seller_state" numFmtId="0">
      <sharedItems count="22">
        <s v="SP"/>
        <s v="BA"/>
        <s v="RJ"/>
        <s v="MG"/>
        <s v="PR"/>
        <s v="PE"/>
        <s v="SC"/>
        <s v="MA"/>
        <s v="RS"/>
        <s v="ES"/>
        <s v="DF"/>
        <s v="PB"/>
        <s v="GO"/>
        <s v="MT"/>
        <s v="CE"/>
        <s v="RN"/>
        <s v="MS"/>
        <s v="RO"/>
        <s v="PI"/>
        <s v="PA"/>
        <s v="AM"/>
        <s v="SE"/>
      </sharedItems>
    </cacheField>
    <cacheField name="orders" numFmtId="0">
      <sharedItems containsSemiMixedTypes="0" containsString="0" containsNumber="1" containsInteger="1" minValue="1" maxValue="1819"/>
    </cacheField>
    <cacheField name="items_sold" numFmtId="0">
      <sharedItems containsSemiMixedTypes="0" containsString="0" containsNumber="1" containsInteger="1" minValue="1" maxValue="1996"/>
    </cacheField>
    <cacheField name="revenue" numFmtId="0">
      <sharedItems containsSemiMixedTypes="0" containsString="0" containsNumber="1" minValue="15.22" maxValue="247007.06"/>
    </cacheField>
    <cacheField name="avg_review_score" numFmtId="0">
      <sharedItems containsMixedTypes="1" containsNumber="1" minValue="1" maxValue="5"/>
    </cacheField>
    <cacheField name="on_time_pct" numFmtId="0">
      <sharedItems containsSemiMixedTypes="0" containsString="0" containsNumber="1" minValue="0" maxValue="100"/>
    </cacheField>
  </cacheFields>
  <extLst>
    <ext xmlns:x14="http://schemas.microsoft.com/office/spreadsheetml/2009/9/main" uri="{725AE2AE-9491-48be-B2B4-4EB974FC3084}">
      <x14:pivotCacheDefinition pivotCacheId="538944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70">
  <r>
    <s v="4869f7a5dfa277a7dca6462dcf3b52b2"/>
    <x v="0"/>
    <n v="1124"/>
    <n v="1148"/>
    <n v="247007.06"/>
    <n v="4.1399999999999997"/>
    <n v="89.5"/>
  </r>
  <r>
    <s v="7c67e1448b00f6e969d365cea6b010ab"/>
    <x v="0"/>
    <n v="973"/>
    <n v="1355"/>
    <n v="237806.69"/>
    <n v="3.35"/>
    <n v="91.1"/>
  </r>
  <r>
    <s v="4a3ca9315b744ce9f8e9374361493884"/>
    <x v="0"/>
    <n v="1772"/>
    <n v="1949"/>
    <n v="231220.43"/>
    <n v="3.83"/>
    <n v="90.3"/>
  </r>
  <r>
    <s v="53243585a1d6dc2643021fd1853d8905"/>
    <x v="1"/>
    <n v="348"/>
    <n v="400"/>
    <n v="230797.02"/>
    <n v="4.13"/>
    <n v="97"/>
  </r>
  <r>
    <s v="fa1c13f2614d7b5c4749cbc52fecda94"/>
    <x v="0"/>
    <n v="578"/>
    <n v="579"/>
    <n v="200833.5"/>
    <n v="4.37"/>
    <n v="90.8"/>
  </r>
  <r>
    <s v="da8622b14eb17ae2831f4ac5b9dab84a"/>
    <x v="0"/>
    <n v="1311"/>
    <n v="1548"/>
    <n v="184706.78"/>
    <n v="4.07"/>
    <n v="93.6"/>
  </r>
  <r>
    <s v="7e93a43ef30c4f03f38b393420bc753a"/>
    <x v="0"/>
    <n v="319"/>
    <n v="322"/>
    <n v="171973.55"/>
    <n v="4.3600000000000003"/>
    <n v="95.3"/>
  </r>
  <r>
    <s v="1025f0e2d44d7041d6cf58b6550e0bfa"/>
    <x v="0"/>
    <n v="910"/>
    <n v="1420"/>
    <n v="171924.96"/>
    <n v="3.87"/>
    <n v="93.3"/>
  </r>
  <r>
    <s v="7a67c85e85bb2ce8582c35f2203ad736"/>
    <x v="0"/>
    <n v="1145"/>
    <n v="1155"/>
    <n v="160278.51999999999"/>
    <n v="4.2699999999999996"/>
    <n v="94.8"/>
  </r>
  <r>
    <s v="955fee9216a65b617aa5c0531780ce60"/>
    <x v="0"/>
    <n v="1261"/>
    <n v="1472"/>
    <n v="156606.48000000001"/>
    <n v="4.09"/>
    <n v="93.5"/>
  </r>
  <r>
    <s v="6560211a19b47992c3666cc44a7e94c0"/>
    <x v="0"/>
    <n v="1819"/>
    <n v="1996"/>
    <n v="148050.94"/>
    <n v="3.95"/>
    <n v="94.9"/>
  </r>
  <r>
    <s v="1f50f920176fa81dab994f9023523100"/>
    <x v="0"/>
    <n v="1399"/>
    <n v="1926"/>
    <n v="141712.94"/>
    <n v="3.99"/>
    <n v="92.2"/>
  </r>
  <r>
    <s v="46dc3b2cc0980fb8ec44634e21d2718e"/>
    <x v="2"/>
    <n v="503"/>
    <n v="523"/>
    <n v="134162.88"/>
    <n v="4.26"/>
    <n v="94.5"/>
  </r>
  <r>
    <s v="a1043bafd471dff536d0c462352beb48"/>
    <x v="3"/>
    <n v="702"/>
    <n v="752"/>
    <n v="130412.74"/>
    <n v="4.25"/>
    <n v="95.1"/>
  </r>
  <r>
    <s v="620c87c171fb2a6dd6e8bb4dec959fc6"/>
    <x v="2"/>
    <n v="722"/>
    <n v="778"/>
    <n v="126278.18"/>
    <n v="4.2699999999999996"/>
    <n v="91.6"/>
  </r>
  <r>
    <s v="cc419e0650a3c5ba77189a1882b7556a"/>
    <x v="0"/>
    <n v="1651"/>
    <n v="1719"/>
    <n v="125936.99"/>
    <n v="4.1399999999999997"/>
    <n v="94.9"/>
  </r>
  <r>
    <s v="5dceca129747e92ff8ef7a997dc4f8ca"/>
    <x v="0"/>
    <n v="322"/>
    <n v="343"/>
    <n v="124702.92"/>
    <n v="4.0199999999999996"/>
    <n v="94.8"/>
  </r>
  <r>
    <s v="7d13fca15225358621be4086e1eb0964"/>
    <x v="0"/>
    <n v="558"/>
    <n v="571"/>
    <n v="120934.47"/>
    <n v="4.0199999999999996"/>
    <n v="88.8"/>
  </r>
  <r>
    <s v="3d871de0142ce09b7081e2b9d1733cb1"/>
    <x v="0"/>
    <n v="1064"/>
    <n v="1131"/>
    <n v="115515.65"/>
    <n v="4.1500000000000004"/>
    <n v="94.5"/>
  </r>
  <r>
    <s v="edb1ef5e36e0c8cd84eb3c9b003e486d"/>
    <x v="2"/>
    <n v="165"/>
    <n v="174"/>
    <n v="83031.14"/>
    <n v="4.45"/>
    <n v="93.1"/>
  </r>
  <r>
    <s v="ccc4bbb5f32a6ab2b7066a4130f114e3"/>
    <x v="4"/>
    <n v="184"/>
    <n v="189"/>
    <n v="78101.34"/>
    <n v="4.32"/>
    <n v="93.7"/>
  </r>
  <r>
    <s v="cca3071e3e9bb7d12640c9fbe2301306"/>
    <x v="0"/>
    <n v="699"/>
    <n v="817"/>
    <n v="77188.55"/>
    <n v="3.88"/>
    <n v="95.5"/>
  </r>
  <r>
    <s v="8581055ce74af1daba164fdbd55a40de"/>
    <x v="0"/>
    <n v="380"/>
    <n v="427"/>
    <n v="73473.98"/>
    <n v="4.2699999999999996"/>
    <n v="91.8"/>
  </r>
  <r>
    <s v="f7ba60f8c3f99e7ee4042fdef03b70c4"/>
    <x v="0"/>
    <n v="218"/>
    <n v="229"/>
    <n v="72387.94"/>
    <n v="4.22"/>
    <n v="86.9"/>
  </r>
  <r>
    <s v="fe2032dab1a61af8794248c8196565c9"/>
    <x v="0"/>
    <n v="293"/>
    <n v="305"/>
    <n v="70400.600000000006"/>
    <n v="4.4000000000000004"/>
    <n v="91.5"/>
  </r>
  <r>
    <s v="de722cd6dad950a92b7d4f82673f8833"/>
    <x v="5"/>
    <n v="337"/>
    <n v="377"/>
    <n v="64776.59"/>
    <n v="4.17"/>
    <n v="96.8"/>
  </r>
  <r>
    <s v="f8db351d8c4c4c22c6835c19a46f01b0"/>
    <x v="0"/>
    <n v="659"/>
    <n v="714"/>
    <n v="62487.02"/>
    <n v="4.25"/>
    <n v="95"/>
  </r>
  <r>
    <s v="7ddcbb64b5bc1ef36ca8c151f6ec77df"/>
    <x v="0"/>
    <n v="325"/>
    <n v="334"/>
    <n v="62202.75"/>
    <n v="3.98"/>
    <n v="91.9"/>
  </r>
  <r>
    <s v="04308b1ee57b6625f47df1d56f00eedf"/>
    <x v="6"/>
    <n v="92"/>
    <n v="92"/>
    <n v="61940.62"/>
    <n v="3.95"/>
    <n v="92.4"/>
  </r>
  <r>
    <s v="522620dcb18a6b31cd7bdf73665113a9"/>
    <x v="4"/>
    <n v="172"/>
    <n v="178"/>
    <n v="61273.66"/>
    <n v="3.91"/>
    <n v="91.6"/>
  </r>
  <r>
    <s v="218d46b86c1881d022bce9c68a7d4b15"/>
    <x v="0"/>
    <n v="382"/>
    <n v="420"/>
    <n v="61162.94"/>
    <n v="4.17"/>
    <n v="91.7"/>
  </r>
  <r>
    <s v="25c5c91f63607446a97b143d2d535d31"/>
    <x v="3"/>
    <n v="156"/>
    <n v="266"/>
    <n v="61154.7"/>
    <n v="3.73"/>
    <n v="94"/>
  </r>
  <r>
    <s v="37be5a7c751166fbc5f8ccba4119e043"/>
    <x v="0"/>
    <n v="269"/>
    <n v="278"/>
    <n v="60756.76"/>
    <n v="4.32"/>
    <n v="97.5"/>
  </r>
  <r>
    <s v="17e34d8224d27a541263c4c64b11a56b"/>
    <x v="0"/>
    <n v="247"/>
    <n v="260"/>
    <n v="59530.49"/>
    <n v="4.2"/>
    <n v="92.7"/>
  </r>
  <r>
    <s v="17f51e7198701186712e53a39c564617"/>
    <x v="0"/>
    <n v="56"/>
    <n v="61"/>
    <n v="57812.43"/>
    <n v="4.34"/>
    <n v="91.8"/>
  </r>
  <r>
    <s v="ceaec5548eefc6e23e6607c5435102e7"/>
    <x v="0"/>
    <n v="198"/>
    <n v="206"/>
    <n v="57653.73"/>
    <n v="4.2"/>
    <n v="95.1"/>
  </r>
  <r>
    <s v="b2ba3715d723d245138f291a6fe42594"/>
    <x v="0"/>
    <n v="324"/>
    <n v="350"/>
    <n v="55596.65"/>
    <n v="4.2"/>
    <n v="93.7"/>
  </r>
  <r>
    <s v="f5a590cf36251cf1162ea35bef76fe84"/>
    <x v="0"/>
    <n v="113"/>
    <n v="118"/>
    <n v="55366.96"/>
    <n v="4.28"/>
    <n v="93.2"/>
  </r>
  <r>
    <s v="8160255418d5aaa7dbdc9f4c64ebda44"/>
    <x v="0"/>
    <n v="380"/>
    <n v="424"/>
    <n v="54095.68"/>
    <n v="3.85"/>
    <n v="84.9"/>
  </r>
  <r>
    <s v="ea8482cd71df3c1969d7b9473ff13abc"/>
    <x v="0"/>
    <n v="1132"/>
    <n v="1188"/>
    <n v="53988.63"/>
    <n v="3.98"/>
    <n v="91.6"/>
  </r>
  <r>
    <s v="77530e9772f57a62c906e1c21538ab82"/>
    <x v="4"/>
    <n v="312"/>
    <n v="381"/>
    <n v="53951.31"/>
    <n v="4.08"/>
    <n v="91.1"/>
  </r>
  <r>
    <s v="e882b2a25a10b9c057cc49695f222c19"/>
    <x v="2"/>
    <n v="57"/>
    <n v="58"/>
    <n v="53913.760000000002"/>
    <n v="4.59"/>
    <n v="100"/>
  </r>
  <r>
    <s v="4e922959ae960d389249c378d1c939f5"/>
    <x v="0"/>
    <n v="412"/>
    <n v="446"/>
    <n v="52485.599999999999"/>
    <n v="3.9"/>
    <n v="91"/>
  </r>
  <r>
    <s v="e9779976487b77c6d4ac45f75ec7afe9"/>
    <x v="0"/>
    <n v="645"/>
    <n v="738"/>
    <n v="52211.3"/>
    <n v="4.2"/>
    <n v="93.8"/>
  </r>
  <r>
    <s v="2bf6a2c1e71bbd29a4ad64e6d3c3629f"/>
    <x v="2"/>
    <n v="30"/>
    <n v="31"/>
    <n v="51629.49"/>
    <n v="4.1900000000000004"/>
    <n v="93.5"/>
  </r>
  <r>
    <s v="4d6d651bd7684af3fffabd5f08d12e5a"/>
    <x v="0"/>
    <n v="363"/>
    <n v="389"/>
    <n v="50785.760000000002"/>
    <n v="4.2"/>
    <n v="96.1"/>
  </r>
  <r>
    <s v="c826c40d7b19f62a09e2d7c5e7295ee2"/>
    <x v="0"/>
    <n v="346"/>
    <n v="365"/>
    <n v="50096.67"/>
    <n v="4.09"/>
    <n v="92.9"/>
  </r>
  <r>
    <s v="391fc6631aebcf3004804e51b40bcf1e"/>
    <x v="0"/>
    <n v="521"/>
    <n v="605"/>
    <n v="49559.14"/>
    <n v="3.98"/>
    <n v="92.1"/>
  </r>
  <r>
    <s v="c3cfdc648177fdbbbb35635a37472c53"/>
    <x v="4"/>
    <n v="278"/>
    <n v="307"/>
    <n v="49127.81"/>
    <n v="4.45"/>
    <n v="98.7"/>
  </r>
  <r>
    <s v="17a053fcb14bd219540cbde0df490be0"/>
    <x v="0"/>
    <n v="124"/>
    <n v="148"/>
    <n v="49114.41"/>
    <n v="4.2300000000000004"/>
    <n v="94.6"/>
  </r>
  <r>
    <s v="d91fb3b7d041e83b64a00a3edfb37e4f"/>
    <x v="0"/>
    <n v="524"/>
    <n v="525"/>
    <n v="48984.45"/>
    <n v="4.1399999999999997"/>
    <n v="96.2"/>
  </r>
  <r>
    <s v="850f4f8af5ea87287ac68de36e29107f"/>
    <x v="0"/>
    <n v="186"/>
    <n v="191"/>
    <n v="48382.720000000001"/>
    <n v="4.29"/>
    <n v="95.3"/>
  </r>
  <r>
    <s v="06a2c3af7b3aee5d69171b0e14f0ee87"/>
    <x v="7"/>
    <n v="389"/>
    <n v="402"/>
    <n v="48169.5"/>
    <n v="4.0199999999999996"/>
    <n v="80.599999999999994"/>
  </r>
  <r>
    <s v="966cb4760537b1404caedd472cc610a5"/>
    <x v="0"/>
    <n v="67"/>
    <n v="67"/>
    <n v="47432.57"/>
    <n v="4.12"/>
    <n v="97"/>
  </r>
  <r>
    <s v="b33e7c55446eabf8fe1a42d037ac7d6d"/>
    <x v="0"/>
    <n v="149"/>
    <n v="152"/>
    <n v="46871.55"/>
    <n v="4.1900000000000004"/>
    <n v="88.2"/>
  </r>
  <r>
    <s v="eeb6de78f79159600292e314a77cbd18"/>
    <x v="6"/>
    <n v="82"/>
    <n v="83"/>
    <n v="46506.89"/>
    <n v="4.42"/>
    <n v="96.4"/>
  </r>
  <r>
    <s v="712e6ed8aa4aa1fa65dab41fed5737e4"/>
    <x v="6"/>
    <n v="77"/>
    <n v="85"/>
    <n v="46149.82"/>
    <n v="3.46"/>
    <n v="80"/>
  </r>
  <r>
    <s v="ba90964cff9b9e0e6f32b23b82465f7b"/>
    <x v="0"/>
    <n v="38"/>
    <n v="38"/>
    <n v="45523.5"/>
    <n v="4.42"/>
    <n v="94.7"/>
  </r>
  <r>
    <s v="634964b17796e64304cadf1ad3050fb7"/>
    <x v="2"/>
    <n v="265"/>
    <n v="323"/>
    <n v="45014.1"/>
    <n v="3.87"/>
    <n v="91"/>
  </r>
  <r>
    <s v="834f3294fba9f932f56edc879193f925"/>
    <x v="0"/>
    <n v="66"/>
    <n v="66"/>
    <n v="44207.42"/>
    <n v="4.55"/>
    <n v="93.9"/>
  </r>
  <r>
    <s v="7142540dd4c91e2237acb7e911c4eba2"/>
    <x v="0"/>
    <n v="316"/>
    <n v="328"/>
    <n v="44025.68"/>
    <n v="4.0599999999999996"/>
    <n v="93"/>
  </r>
  <r>
    <s v="b839e41795b7f3ad94cc2014a52f6796"/>
    <x v="0"/>
    <n v="33"/>
    <n v="36"/>
    <n v="43749.93"/>
    <n v="4.03"/>
    <n v="97.2"/>
  </r>
  <r>
    <s v="2eb70248d66e0e3ef83659f71b244378"/>
    <x v="0"/>
    <n v="187"/>
    <n v="197"/>
    <n v="42046.73"/>
    <n v="2.81"/>
    <n v="88.3"/>
  </r>
  <r>
    <s v="1835b56ce799e6a4dc4eddc053f04066"/>
    <x v="0"/>
    <n v="417"/>
    <n v="551"/>
    <n v="41628.28"/>
    <n v="3.62"/>
    <n v="91.1"/>
  </r>
  <r>
    <s v="7178f9f4dd81dcef02f62acdf8151e01"/>
    <x v="6"/>
    <n v="202"/>
    <n v="215"/>
    <n v="41180.44"/>
    <n v="4.05"/>
    <n v="96.7"/>
  </r>
  <r>
    <s v="7299e27ed73d2ad986de7f7c77d919fa"/>
    <x v="3"/>
    <n v="335"/>
    <n v="358"/>
    <n v="40911.93"/>
    <n v="4.43"/>
    <n v="95.8"/>
  </r>
  <r>
    <s v="dbc22125167c298ef99da25668e1011f"/>
    <x v="3"/>
    <n v="394"/>
    <n v="417"/>
    <n v="40616.550000000003"/>
    <n v="4.2699999999999996"/>
    <n v="97.6"/>
  </r>
  <r>
    <s v="c70c1b0d8ca86052f45a432a38b73958"/>
    <x v="0"/>
    <n v="260"/>
    <n v="336"/>
    <n v="40190.559999999998"/>
    <n v="4.32"/>
    <n v="94.9"/>
  </r>
  <r>
    <s v="c3867b4666c7d76867627c2f7fb22e21"/>
    <x v="0"/>
    <n v="228"/>
    <n v="241"/>
    <n v="39360.199999999997"/>
    <n v="4.0199999999999996"/>
    <n v="89.6"/>
  </r>
  <r>
    <s v="53e4c6e0f4312d4d2107a8c9cddf45cd"/>
    <x v="0"/>
    <n v="463"/>
    <n v="512"/>
    <n v="39283.93"/>
    <n v="4.08"/>
    <n v="95.3"/>
  </r>
  <r>
    <s v="855668e0971d4dfd7bef1b6a4133b41b"/>
    <x v="0"/>
    <n v="300"/>
    <n v="311"/>
    <n v="38408.559999999998"/>
    <n v="3.83"/>
    <n v="87.5"/>
  </r>
  <r>
    <s v="87142160b41353c4e5fca2360caf6f92"/>
    <x v="8"/>
    <n v="305"/>
    <n v="339"/>
    <n v="38314.31"/>
    <n v="4.3600000000000003"/>
    <n v="95.9"/>
  </r>
  <r>
    <s v="0241d4d5d36f10f80c644447315af0bd"/>
    <x v="4"/>
    <n v="238"/>
    <n v="246"/>
    <n v="38251.61"/>
    <n v="4.3099999999999996"/>
    <n v="95.5"/>
  </r>
  <r>
    <s v="e9bc59e7b60fc3063eb2290deda4cced"/>
    <x v="4"/>
    <n v="209"/>
    <n v="260"/>
    <n v="38082.42"/>
    <n v="4.03"/>
    <n v="90.4"/>
  </r>
  <r>
    <s v="59417c56835dd8e2e72f91f809cd4092"/>
    <x v="0"/>
    <n v="18"/>
    <n v="18"/>
    <n v="37657.769999999997"/>
    <n v="4.28"/>
    <n v="100"/>
  </r>
  <r>
    <s v="2528513dd95219a6013d4d05176e391a"/>
    <x v="0"/>
    <n v="160"/>
    <n v="166"/>
    <n v="36400.97"/>
    <n v="3.96"/>
    <n v="95.8"/>
  </r>
  <r>
    <s v="88460e8ebdecbfecb5f9601833981930"/>
    <x v="4"/>
    <n v="246"/>
    <n v="300"/>
    <n v="36258.589999999997"/>
    <n v="3.37"/>
    <n v="83.7"/>
  </r>
  <r>
    <s v="76d5af76d0271110f9af36c92573f765"/>
    <x v="0"/>
    <n v="128"/>
    <n v="155"/>
    <n v="35731.660000000003"/>
    <n v="4.0999999999999996"/>
    <n v="91.6"/>
  </r>
  <r>
    <s v="1554a68530182680ad5c8b042c3ab563"/>
    <x v="3"/>
    <n v="246"/>
    <n v="267"/>
    <n v="35714.559999999998"/>
    <n v="4.2699999999999996"/>
    <n v="94"/>
  </r>
  <r>
    <s v="9c0e69c7bf2619675bbadf47b43f655a"/>
    <x v="0"/>
    <n v="151"/>
    <n v="200"/>
    <n v="35543.82"/>
    <n v="4.09"/>
    <n v="92"/>
  </r>
  <r>
    <s v="70a12e78e608ac31179aea7f8422044b"/>
    <x v="0"/>
    <n v="312"/>
    <n v="323"/>
    <n v="35487.25"/>
    <n v="3.79"/>
    <n v="90.7"/>
  </r>
  <r>
    <s v="5c243662ce92d84573bfaff24c3e3700"/>
    <x v="0"/>
    <n v="98"/>
    <n v="100"/>
    <n v="34637.660000000003"/>
    <n v="4.13"/>
    <n v="99"/>
  </r>
  <r>
    <s v="70eea00b476a314817cefde4aad4f89a"/>
    <x v="0"/>
    <n v="106"/>
    <n v="112"/>
    <n v="34149.660000000003"/>
    <n v="4.38"/>
    <n v="93.8"/>
  </r>
  <r>
    <s v="7681ef142fd2c19048da7430856b5588"/>
    <x v="0"/>
    <n v="58"/>
    <n v="76"/>
    <n v="34074.67"/>
    <n v="4.16"/>
    <n v="92.1"/>
  </r>
  <r>
    <s v="001cca7ae9ae17fb1caed9dfb1094831"/>
    <x v="9"/>
    <n v="195"/>
    <n v="234"/>
    <n v="33142.9"/>
    <n v="3.97"/>
    <n v="94.9"/>
  </r>
  <r>
    <s v="e59aa562b9f8076dd550fcddf0e73491"/>
    <x v="4"/>
    <n v="69"/>
    <n v="82"/>
    <n v="32876.370000000003"/>
    <n v="4.33"/>
    <n v="92.7"/>
  </r>
  <r>
    <s v="1900267e848ceeba8fa32d80c1a5f5a8"/>
    <x v="0"/>
    <n v="406"/>
    <n v="523"/>
    <n v="32679.54"/>
    <n v="3.88"/>
    <n v="93.5"/>
  </r>
  <r>
    <s v="d1c281d3ae149232351cd8c8cc885f0d"/>
    <x v="0"/>
    <n v="214"/>
    <n v="239"/>
    <n v="32213.68"/>
    <n v="3.8"/>
    <n v="93.7"/>
  </r>
  <r>
    <s v="0b90b6df587eb83608a64ea8b390cf07"/>
    <x v="4"/>
    <n v="163"/>
    <n v="209"/>
    <n v="32090.94"/>
    <n v="4.0199999999999996"/>
    <n v="96.7"/>
  </r>
  <r>
    <s v="59b22a78efb79a4797979612b885db36"/>
    <x v="3"/>
    <n v="125"/>
    <n v="133"/>
    <n v="32082.07"/>
    <n v="3.97"/>
    <n v="88.7"/>
  </r>
  <r>
    <s v="d23019c84ffae2d5ef2270367b8605fc"/>
    <x v="4"/>
    <n v="39"/>
    <n v="39"/>
    <n v="31954.84"/>
    <n v="4.41"/>
    <n v="97.4"/>
  </r>
  <r>
    <s v="9f505651f4a6abe901a56cdc21508025"/>
    <x v="0"/>
    <n v="393"/>
    <n v="426"/>
    <n v="31862.59"/>
    <n v="4.3099999999999996"/>
    <n v="96.2"/>
  </r>
  <r>
    <s v="a3a38f4affed601eb87a97788c949667"/>
    <x v="6"/>
    <n v="251"/>
    <n v="260"/>
    <n v="31479.279999999999"/>
    <n v="4.4000000000000004"/>
    <n v="95.8"/>
  </r>
  <r>
    <s v="8b321bb669392f5163d04c59e235e066"/>
    <x v="0"/>
    <n v="930"/>
    <n v="1005"/>
    <n v="31186.94"/>
    <n v="4.0199999999999996"/>
    <n v="91.3"/>
  </r>
  <r>
    <s v="900ba814c251a692506d7834c1218441"/>
    <x v="0"/>
    <n v="86"/>
    <n v="86"/>
    <n v="31167.46"/>
    <n v="4.2300000000000004"/>
    <n v="86"/>
  </r>
  <r>
    <s v="16090f2ca825584b5a147ab24aa30c86"/>
    <x v="0"/>
    <n v="398"/>
    <n v="406"/>
    <n v="30984.02"/>
    <n v="4.07"/>
    <n v="92.1"/>
  </r>
  <r>
    <s v="d2374cbcbb3ca4ab1086534108cc3ab7"/>
    <x v="0"/>
    <n v="514"/>
    <n v="620"/>
    <n v="30370.23"/>
    <n v="3.69"/>
    <n v="95.2"/>
  </r>
  <r>
    <s v="12b9676b00f60f3b700e83af21824c0e"/>
    <x v="8"/>
    <n v="133"/>
    <n v="133"/>
    <n v="29901.67"/>
    <n v="4.54"/>
    <n v="99.2"/>
  </r>
  <r>
    <s v="c003204e1ab016dfa150abc119207b24"/>
    <x v="0"/>
    <n v="195"/>
    <n v="200"/>
    <n v="29618.46"/>
    <n v="4.4400000000000004"/>
    <n v="95"/>
  </r>
  <r>
    <s v="b32be1695eb7ec5f10f72d9610a12527"/>
    <x v="8"/>
    <n v="44"/>
    <n v="45"/>
    <n v="29512.68"/>
    <n v="4.16"/>
    <n v="95.6"/>
  </r>
  <r>
    <s v="7e1fb0a3ebfb01ffb3a7dae98bf3238d"/>
    <x v="0"/>
    <n v="155"/>
    <n v="169"/>
    <n v="29052.62"/>
    <n v="4.16"/>
    <n v="87.6"/>
  </r>
  <r>
    <s v="de23c3b98a88888289c6f5cc1209054a"/>
    <x v="0"/>
    <n v="161"/>
    <n v="178"/>
    <n v="28579.86"/>
    <n v="4.3099999999999996"/>
    <n v="93.3"/>
  </r>
  <r>
    <s v="897060da8b9a21f655304d50fd935913"/>
    <x v="0"/>
    <n v="304"/>
    <n v="413"/>
    <n v="28258.33"/>
    <n v="3.47"/>
    <n v="88.9"/>
  </r>
  <r>
    <s v="dc4a0fc896dc34b0d5bfec8438291c80"/>
    <x v="0"/>
    <n v="225"/>
    <n v="242"/>
    <n v="28148.06"/>
    <n v="3.82"/>
    <n v="93.4"/>
  </r>
  <r>
    <s v="a416b6a846a11724393025641d4edd5e"/>
    <x v="0"/>
    <n v="157"/>
    <n v="176"/>
    <n v="27865.8"/>
    <n v="4.22"/>
    <n v="89.2"/>
  </r>
  <r>
    <s v="1c68394e931a64f90ea236c5ea590300"/>
    <x v="4"/>
    <n v="142"/>
    <n v="171"/>
    <n v="27729.16"/>
    <n v="3.93"/>
    <n v="96.5"/>
  </r>
  <r>
    <s v="f62d7bb4a613ec758a03342d46b580b2"/>
    <x v="3"/>
    <n v="32"/>
    <n v="32"/>
    <n v="26790.59"/>
    <n v="4.38"/>
    <n v="90.6"/>
  </r>
  <r>
    <s v="1a3df491d1c4f1589fc2b934ada68bf2"/>
    <x v="6"/>
    <n v="160"/>
    <n v="171"/>
    <n v="26550.63"/>
    <n v="4.24"/>
    <n v="96.5"/>
  </r>
  <r>
    <s v="b94cc9f10ddc85e4ba73a6f7974e7101"/>
    <x v="2"/>
    <n v="39"/>
    <n v="39"/>
    <n v="26368.49"/>
    <n v="4.3"/>
    <n v="94.9"/>
  </r>
  <r>
    <s v="710e3548e02bc1d2831dfc4f1b5b14d4"/>
    <x v="4"/>
    <n v="131"/>
    <n v="137"/>
    <n v="26111.91"/>
    <n v="3.46"/>
    <n v="96.4"/>
  </r>
  <r>
    <s v="7ad32824caee82087b3e2e5f33b1bf32"/>
    <x v="0"/>
    <n v="147"/>
    <n v="180"/>
    <n v="25495.8"/>
    <n v="3.79"/>
    <n v="88.3"/>
  </r>
  <r>
    <s v="612170e34b97004b3ba37eae81836b4c"/>
    <x v="8"/>
    <n v="107"/>
    <n v="110"/>
    <n v="25372.080000000002"/>
    <n v="4.43"/>
    <n v="99.1"/>
  </r>
  <r>
    <s v="f45122a9ab94eb4f3f8953578bc0c560"/>
    <x v="0"/>
    <n v="184"/>
    <n v="197"/>
    <n v="25043.87"/>
    <n v="3.92"/>
    <n v="93.4"/>
  </r>
  <r>
    <s v="8f2ce03f928b567e3d56181ae20ae952"/>
    <x v="0"/>
    <n v="151"/>
    <n v="172"/>
    <n v="24969.8"/>
    <n v="4.12"/>
    <n v="87.8"/>
  </r>
  <r>
    <s v="729f06993dac8e860d4f02d7088ca48a"/>
    <x v="0"/>
    <n v="94"/>
    <n v="113"/>
    <n v="24798.27"/>
    <n v="4.33"/>
    <n v="92"/>
  </r>
  <r>
    <s v="2b3e4a2a3ea8e01938cabda2a3e5cc79"/>
    <x v="0"/>
    <n v="52"/>
    <n v="54"/>
    <n v="24535.1"/>
    <n v="4.3899999999999997"/>
    <n v="100"/>
  </r>
  <r>
    <s v="b37c4c02bda3161a7546a4e6d222d5b2"/>
    <x v="0"/>
    <n v="4"/>
    <n v="15"/>
    <n v="24487.599999999999"/>
    <n v="1.4"/>
    <n v="100"/>
  </r>
  <r>
    <s v="744dac408745240a2c2528fb1b6028f3"/>
    <x v="4"/>
    <n v="78"/>
    <n v="83"/>
    <n v="24200.400000000001"/>
    <n v="4.55"/>
    <n v="98.8"/>
  </r>
  <r>
    <s v="40db9e9aa57f7bb151bcda6b0f9bdbb7"/>
    <x v="5"/>
    <n v="12"/>
    <n v="12"/>
    <n v="23823.99"/>
    <n v="2.36"/>
    <n v="91.7"/>
  </r>
  <r>
    <s v="06e5eefc71ec47ae763c5c6f8db7064f"/>
    <x v="8"/>
    <n v="90"/>
    <n v="93"/>
    <n v="23800.32"/>
    <n v="3.96"/>
    <n v="100"/>
  </r>
  <r>
    <s v="0dd184061fb0eaa7ca37932c68ab91c5"/>
    <x v="0"/>
    <n v="161"/>
    <n v="193"/>
    <n v="23766.42"/>
    <n v="3.95"/>
    <n v="91.2"/>
  </r>
  <r>
    <s v="ff69aa92bb6b1bf9b8b7a51c2ed9cf8b"/>
    <x v="0"/>
    <n v="20"/>
    <n v="20"/>
    <n v="23695.200000000001"/>
    <n v="3.65"/>
    <n v="80"/>
  </r>
  <r>
    <s v="85d9eb9ddc5d00ca9336a2219c97bb13"/>
    <x v="3"/>
    <n v="499"/>
    <n v="512"/>
    <n v="23539.91"/>
    <n v="4.21"/>
    <n v="97.9"/>
  </r>
  <r>
    <s v="8444e55c1f13cd5c179851e5ca5ebd00"/>
    <x v="3"/>
    <n v="92"/>
    <n v="102"/>
    <n v="23445.67"/>
    <n v="3.16"/>
    <n v="89.2"/>
  </r>
  <r>
    <s v="00ee68308b45bc5e2660cd833c3f81cc"/>
    <x v="0"/>
    <n v="135"/>
    <n v="172"/>
    <n v="23440.66"/>
    <n v="4.33"/>
    <n v="93.6"/>
  </r>
  <r>
    <s v="7b0df942f46435babab05d49b744b2c4"/>
    <x v="0"/>
    <n v="32"/>
    <n v="32"/>
    <n v="23272.78"/>
    <n v="4.3899999999999997"/>
    <n v="90.6"/>
  </r>
  <r>
    <s v="59fb871bf6f4522a87ba567b42dafecf"/>
    <x v="0"/>
    <n v="123"/>
    <n v="125"/>
    <n v="23192.18"/>
    <n v="4.26"/>
    <n v="94.4"/>
  </r>
  <r>
    <s v="004c9cd9d87a3c30c522c48c4fc07416"/>
    <x v="0"/>
    <n v="156"/>
    <n v="168"/>
    <n v="23094.02"/>
    <n v="4.16"/>
    <n v="94"/>
  </r>
  <r>
    <s v="05ff92fedb5be47920fea08e501238b9"/>
    <x v="8"/>
    <n v="57"/>
    <n v="60"/>
    <n v="22983.87"/>
    <n v="4.28"/>
    <n v="96.7"/>
  </r>
  <r>
    <s v="dc317f341ab0e22f39acbd9dbf9b4a1f"/>
    <x v="8"/>
    <n v="55"/>
    <n v="58"/>
    <n v="22570.13"/>
    <n v="4.12"/>
    <n v="94.8"/>
  </r>
  <r>
    <s v="f457c46070d02cadd8a68551231220dd"/>
    <x v="4"/>
    <n v="195"/>
    <n v="230"/>
    <n v="22449.01"/>
    <n v="3.8"/>
    <n v="94.3"/>
  </r>
  <r>
    <s v="48162d548f5b1b11b9d29d1e01f75a61"/>
    <x v="0"/>
    <n v="66"/>
    <n v="89"/>
    <n v="22151.83"/>
    <n v="3.82"/>
    <n v="98.9"/>
  </r>
  <r>
    <s v="b1b3948701c5c72445495bd161b83a4c"/>
    <x v="0"/>
    <n v="14"/>
    <n v="14"/>
    <n v="21924.25"/>
    <n v="1.93"/>
    <n v="35.700000000000003"/>
  </r>
  <r>
    <s v="bfd27a966d91cfaafdb25d076585f0da"/>
    <x v="0"/>
    <n v="114"/>
    <n v="115"/>
    <n v="21861.41"/>
    <n v="4.32"/>
    <n v="94.8"/>
  </r>
  <r>
    <s v="44073f8b7e41514de3b7815dd0237f4f"/>
    <x v="10"/>
    <n v="142"/>
    <n v="151"/>
    <n v="21519.49"/>
    <n v="3.75"/>
    <n v="95.4"/>
  </r>
  <r>
    <s v="128639473a139ac0f3e5f5ade55873a5"/>
    <x v="4"/>
    <n v="527"/>
    <n v="554"/>
    <n v="21475.54"/>
    <n v="4.2"/>
    <n v="95.7"/>
  </r>
  <r>
    <s v="0c8380b62e38e8a1e6adbeba7eb9688c"/>
    <x v="3"/>
    <n v="180"/>
    <n v="218"/>
    <n v="21300.74"/>
    <n v="4.0599999999999996"/>
    <n v="95.4"/>
  </r>
  <r>
    <s v="76d64c4aca3a7baf218bf93ef7fa768d"/>
    <x v="4"/>
    <n v="64"/>
    <n v="69"/>
    <n v="20455.29"/>
    <n v="4.12"/>
    <n v="97.1"/>
  </r>
  <r>
    <s v="54a1852d1b8f10312c55e906355666ee"/>
    <x v="0"/>
    <n v="198"/>
    <n v="202"/>
    <n v="20418.03"/>
    <n v="4.37"/>
    <n v="92.6"/>
  </r>
  <r>
    <s v="fa40cc5b934574b62717c68f3d678b6d"/>
    <x v="0"/>
    <n v="304"/>
    <n v="337"/>
    <n v="20383.009999999998"/>
    <n v="4.45"/>
    <n v="95"/>
  </r>
  <r>
    <s v="7aa4334be125fcdd2ba64b3180029f14"/>
    <x v="0"/>
    <n v="214"/>
    <n v="237"/>
    <n v="20330.52"/>
    <n v="4.08"/>
    <n v="88.2"/>
  </r>
  <r>
    <s v="cd68562d3f44870c08922d380acae552"/>
    <x v="0"/>
    <n v="122"/>
    <n v="129"/>
    <n v="20279.86"/>
    <n v="3.91"/>
    <n v="82.2"/>
  </r>
  <r>
    <s v="96493fab2fbb13a14d0c0e8772eef5c3"/>
    <x v="0"/>
    <n v="63"/>
    <n v="64"/>
    <n v="20181.23"/>
    <n v="4.03"/>
    <n v="93.8"/>
  </r>
  <r>
    <s v="41b39e28db005d9731d9d485a83b4c38"/>
    <x v="0"/>
    <n v="187"/>
    <n v="223"/>
    <n v="20064.52"/>
    <n v="4.24"/>
    <n v="95.5"/>
  </r>
  <r>
    <s v="527801b552d0077ffd170872eb49683b"/>
    <x v="0"/>
    <n v="90"/>
    <n v="92"/>
    <n v="20005.36"/>
    <n v="4.4800000000000004"/>
    <n v="90.2"/>
  </r>
  <r>
    <s v="1e8b33f18b4f7598d87f5cbee2282cc2"/>
    <x v="0"/>
    <n v="122"/>
    <n v="139"/>
    <n v="19924.07"/>
    <n v="4.3099999999999996"/>
    <n v="97.1"/>
  </r>
  <r>
    <s v="c33847515fa6305ce6feb1e818569f13"/>
    <x v="6"/>
    <n v="114"/>
    <n v="128"/>
    <n v="19894.259999999998"/>
    <n v="3.72"/>
    <n v="96.1"/>
  </r>
  <r>
    <s v="86ccac0b835037332a596a33b6949ee1"/>
    <x v="6"/>
    <n v="178"/>
    <n v="208"/>
    <n v="19799.95"/>
    <n v="4.03"/>
    <n v="98.1"/>
  </r>
  <r>
    <s v="9de4643a8dbde634fe55621059d92273"/>
    <x v="6"/>
    <n v="72"/>
    <n v="81"/>
    <n v="19282.41"/>
    <n v="4.53"/>
    <n v="96.3"/>
  </r>
  <r>
    <s v="821fb029fc6e495ca4f08a35d51e53a5"/>
    <x v="0"/>
    <n v="24"/>
    <n v="25"/>
    <n v="19217.169999999998"/>
    <n v="3.5"/>
    <n v="68"/>
  </r>
  <r>
    <s v="d650b663c3b5f6fb392b6326366efa9a"/>
    <x v="0"/>
    <n v="57"/>
    <n v="57"/>
    <n v="19188.009999999998"/>
    <n v="4.37"/>
    <n v="94.7"/>
  </r>
  <r>
    <s v="4b9750c8ad28220fe6702d4ecb7c898f"/>
    <x v="0"/>
    <n v="217"/>
    <n v="221"/>
    <n v="19173.849999999999"/>
    <n v="4.3499999999999996"/>
    <n v="94.1"/>
  </r>
  <r>
    <s v="165fc07beebdcb6190fba8a06db2a449"/>
    <x v="4"/>
    <n v="50"/>
    <n v="64"/>
    <n v="19081.43"/>
    <n v="3.69"/>
    <n v="90.6"/>
  </r>
  <r>
    <s v="4c2b230173bb36f9b240f2b8ac11786e"/>
    <x v="0"/>
    <n v="258"/>
    <n v="343"/>
    <n v="18828.71"/>
    <n v="3.76"/>
    <n v="91.5"/>
  </r>
  <r>
    <s v="c72de06d72748d1a0dfb2125be43ba63"/>
    <x v="1"/>
    <n v="21"/>
    <n v="22"/>
    <n v="18733.18"/>
    <n v="4.45"/>
    <n v="100"/>
  </r>
  <r>
    <s v="79ebd9a61bac3eaf882805ed4ecfa12a"/>
    <x v="4"/>
    <n v="133"/>
    <n v="140"/>
    <n v="18730.52"/>
    <n v="4.01"/>
    <n v="95.7"/>
  </r>
  <r>
    <s v="94144541854e298c2d976cb893b81343"/>
    <x v="8"/>
    <n v="68"/>
    <n v="76"/>
    <n v="18715.650000000001"/>
    <n v="4.33"/>
    <n v="96.1"/>
  </r>
  <r>
    <s v="a888faf2d1baececa6baf9c3d603ee1f"/>
    <x v="4"/>
    <n v="53"/>
    <n v="54"/>
    <n v="18672.75"/>
    <n v="4.1100000000000003"/>
    <n v="90.7"/>
  </r>
  <r>
    <s v="213b25e6f54661939f11710a6fddb871"/>
    <x v="0"/>
    <n v="152"/>
    <n v="190"/>
    <n v="18486.96"/>
    <n v="3.82"/>
    <n v="92.6"/>
  </r>
  <r>
    <s v="ef0ace09169ac090589d85746e3e036f"/>
    <x v="2"/>
    <n v="128"/>
    <n v="139"/>
    <n v="18404.78"/>
    <n v="4.37"/>
    <n v="92.8"/>
  </r>
  <r>
    <s v="2a84855fd20af891be03bc5924d2b453"/>
    <x v="3"/>
    <n v="155"/>
    <n v="159"/>
    <n v="18265.72"/>
    <n v="4.3600000000000003"/>
    <n v="97.5"/>
  </r>
  <r>
    <s v="2138ccb85b11a4ec1e37afbd1c8eda1f"/>
    <x v="0"/>
    <n v="388"/>
    <n v="419"/>
    <n v="17991.89"/>
    <n v="3.92"/>
    <n v="95.5"/>
  </r>
  <r>
    <s v="0adac9fbd9a2b63cccaac4f8756c1ca8"/>
    <x v="0"/>
    <n v="106"/>
    <n v="134"/>
    <n v="17955.5"/>
    <n v="4.01"/>
    <n v="95.5"/>
  </r>
  <r>
    <s v="abe42c5d03695b4257b5c6cbf4e6784e"/>
    <x v="2"/>
    <n v="49"/>
    <n v="49"/>
    <n v="17947.55"/>
    <n v="3.96"/>
    <n v="83.7"/>
  </r>
  <r>
    <s v="229c3efbfb0ea2058de4ccdfbc3d784a"/>
    <x v="3"/>
    <n v="118"/>
    <n v="145"/>
    <n v="17779.71"/>
    <n v="3.64"/>
    <n v="97.9"/>
  </r>
  <r>
    <s v="8ae520247981aa06bc94abddf5f46d34"/>
    <x v="6"/>
    <n v="65"/>
    <n v="65"/>
    <n v="17766.34"/>
    <n v="4.45"/>
    <n v="100"/>
  </r>
  <r>
    <s v="01fdefa7697d26ad920e9e0346d4bd1b"/>
    <x v="4"/>
    <n v="128"/>
    <n v="130"/>
    <n v="17532.79"/>
    <n v="4.37"/>
    <n v="94.6"/>
  </r>
  <r>
    <s v="4a3ccda38b2129705f3fb522db62ca31"/>
    <x v="0"/>
    <n v="64"/>
    <n v="73"/>
    <n v="17508.810000000001"/>
    <n v="3.8"/>
    <n v="93.2"/>
  </r>
  <r>
    <s v="66922902710d126a0e7d26b0e3805106"/>
    <x v="3"/>
    <n v="150"/>
    <n v="155"/>
    <n v="17464.93"/>
    <n v="4.47"/>
    <n v="92.9"/>
  </r>
  <r>
    <s v="d921b68bf747894be13a97ae52b0f386"/>
    <x v="3"/>
    <n v="77"/>
    <n v="77"/>
    <n v="17403.810000000001"/>
    <n v="4.5599999999999996"/>
    <n v="98.7"/>
  </r>
  <r>
    <s v="1b4c3a6f53068f0b6944d2d005c9fc89"/>
    <x v="6"/>
    <n v="111"/>
    <n v="115"/>
    <n v="17396.990000000002"/>
    <n v="4.1399999999999997"/>
    <n v="95.7"/>
  </r>
  <r>
    <s v="5cf13accae3222c70a9cac40818ae839"/>
    <x v="3"/>
    <n v="148"/>
    <n v="155"/>
    <n v="17296.18"/>
    <n v="4.46"/>
    <n v="98.1"/>
  </r>
  <r>
    <s v="e5a38146df062edaf55c38afa99e42dc"/>
    <x v="0"/>
    <n v="120"/>
    <n v="124"/>
    <n v="17156.43"/>
    <n v="3.97"/>
    <n v="92.7"/>
  </r>
  <r>
    <s v="c3acdfac4e3e97ff87529454fbc03642"/>
    <x v="0"/>
    <n v="12"/>
    <n v="12"/>
    <n v="17057.28"/>
    <n v="4.25"/>
    <n v="91.7"/>
  </r>
  <r>
    <s v="d94a40fd42351c259927028d163af842"/>
    <x v="3"/>
    <n v="100"/>
    <n v="109"/>
    <n v="17022.37"/>
    <n v="4.13"/>
    <n v="97.2"/>
  </r>
  <r>
    <s v="2e90cb1677d35cfe24eef47d441b7c87"/>
    <x v="0"/>
    <n v="127"/>
    <n v="137"/>
    <n v="16782.16"/>
    <n v="4.04"/>
    <n v="88.3"/>
  </r>
  <r>
    <s v="6d66611d7c44cc30ce351abc49a68421"/>
    <x v="0"/>
    <n v="164"/>
    <n v="174"/>
    <n v="16645.259999999998"/>
    <n v="3.93"/>
    <n v="93.7"/>
  </r>
  <r>
    <s v="2a5b78b41cd05baeac8df54c6606b92c"/>
    <x v="3"/>
    <n v="46"/>
    <n v="56"/>
    <n v="16575.47"/>
    <n v="4.3"/>
    <n v="98.2"/>
  </r>
  <r>
    <s v="1f1bb1f0859883505541bdd6606193e5"/>
    <x v="0"/>
    <n v="27"/>
    <n v="29"/>
    <n v="16562.87"/>
    <n v="4.3099999999999996"/>
    <n v="89.7"/>
  </r>
  <r>
    <s v="6061155addc1e54b4cfb51c1c2a32ad8"/>
    <x v="0"/>
    <n v="28"/>
    <n v="33"/>
    <n v="16513.310000000001"/>
    <n v="4.7"/>
    <n v="97"/>
  </r>
  <r>
    <s v="669ae81880e08f269a64487cfb287169"/>
    <x v="6"/>
    <n v="161"/>
    <n v="185"/>
    <n v="16485.2"/>
    <n v="4.1500000000000004"/>
    <n v="96.2"/>
  </r>
  <r>
    <s v="c847e075301870dd144a116762eaff9a"/>
    <x v="3"/>
    <n v="41"/>
    <n v="42"/>
    <n v="16341.48"/>
    <n v="4.2"/>
    <n v="92.9"/>
  </r>
  <r>
    <s v="a3e9a2c700480d9bb01fba070ba80a0e"/>
    <x v="0"/>
    <n v="129"/>
    <n v="143"/>
    <n v="16240.83"/>
    <n v="4.03"/>
    <n v="91.6"/>
  </r>
  <r>
    <s v="3b15288545f8928d3e65a8f949a28291"/>
    <x v="0"/>
    <n v="101"/>
    <n v="118"/>
    <n v="16164.88"/>
    <n v="3.95"/>
    <n v="93.2"/>
  </r>
  <r>
    <s v="cfb1a033743668a192316f3c6d1d2671"/>
    <x v="0"/>
    <n v="143"/>
    <n v="179"/>
    <n v="15970.7"/>
    <n v="4.03"/>
    <n v="91.1"/>
  </r>
  <r>
    <s v="a673821011d0cec28146ea42f5ab767f"/>
    <x v="0"/>
    <n v="125"/>
    <n v="141"/>
    <n v="15928.04"/>
    <n v="3.92"/>
    <n v="89.4"/>
  </r>
  <r>
    <s v="f9244d45189d3a3605499abddeade7d5"/>
    <x v="0"/>
    <n v="20"/>
    <n v="20"/>
    <n v="15902.16"/>
    <n v="4.3499999999999996"/>
    <n v="100"/>
  </r>
  <r>
    <s v="6edacfd9f9074789dad6d62ba7950b9c"/>
    <x v="0"/>
    <n v="205"/>
    <n v="216"/>
    <n v="15872.28"/>
    <n v="4.3899999999999997"/>
    <n v="95.8"/>
  </r>
  <r>
    <s v="6039e27294dc75811c0d8a39069f52c0"/>
    <x v="0"/>
    <n v="63"/>
    <n v="74"/>
    <n v="15835.52"/>
    <n v="3.86"/>
    <n v="78.400000000000006"/>
  </r>
  <r>
    <s v="8e6d7754bc7e0f22c96d255ebda59eba"/>
    <x v="0"/>
    <n v="84"/>
    <n v="129"/>
    <n v="15793.35"/>
    <n v="2.99"/>
    <n v="89.9"/>
  </r>
  <r>
    <s v="a5cba26a62b8b4d0145b68b841e62e7f"/>
    <x v="4"/>
    <n v="53"/>
    <n v="54"/>
    <n v="15785.77"/>
    <n v="4.57"/>
    <n v="98.1"/>
  </r>
  <r>
    <s v="1f9ab4708f3056ede07124aad39a2554"/>
    <x v="0"/>
    <n v="76"/>
    <n v="77"/>
    <n v="15692.65"/>
    <n v="4.1100000000000003"/>
    <n v="94.8"/>
  </r>
  <r>
    <s v="701938c450705b8ae65fc923b70f35c7"/>
    <x v="0"/>
    <n v="74"/>
    <n v="111"/>
    <n v="15650.89"/>
    <n v="3.75"/>
    <n v="96.4"/>
  </r>
  <r>
    <s v="b8bc237ba3788b23da09c0f1f3a3288c"/>
    <x v="6"/>
    <n v="45"/>
    <n v="47"/>
    <n v="15621.16"/>
    <n v="4.3499999999999996"/>
    <n v="97.9"/>
  </r>
  <r>
    <s v="080199a181c46c657dc5aa235411be3b"/>
    <x v="0"/>
    <n v="79"/>
    <n v="83"/>
    <n v="15544.88"/>
    <n v="4.6100000000000003"/>
    <n v="98.8"/>
  </r>
  <r>
    <s v="289cdb325fb7e7f891c38608bf9e0962"/>
    <x v="0"/>
    <n v="109"/>
    <n v="125"/>
    <n v="15486.07"/>
    <n v="4.59"/>
    <n v="98.4"/>
  </r>
  <r>
    <s v="ce248b21cb2adc36282ede306b7660e5"/>
    <x v="6"/>
    <n v="64"/>
    <n v="65"/>
    <n v="15455.2"/>
    <n v="4.25"/>
    <n v="92.3"/>
  </r>
  <r>
    <s v="ac3508719a1d8f5b7614b798f70af136"/>
    <x v="8"/>
    <n v="101"/>
    <n v="101"/>
    <n v="15410.66"/>
    <n v="4.6399999999999997"/>
    <n v="98"/>
  </r>
  <r>
    <s v="aba1721a889e04decc910aa13b768ef4"/>
    <x v="0"/>
    <n v="83"/>
    <n v="92"/>
    <n v="15352.47"/>
    <n v="4.46"/>
    <n v="93.5"/>
  </r>
  <r>
    <s v="c31eff8334d6b3047ed34bebd4d62c36"/>
    <x v="0"/>
    <n v="120"/>
    <n v="121"/>
    <n v="15350.85"/>
    <n v="3.88"/>
    <n v="88.4"/>
  </r>
  <r>
    <s v="530ec6109d11eaaf87999465c6afee01"/>
    <x v="4"/>
    <n v="94"/>
    <n v="101"/>
    <n v="15279.16"/>
    <n v="4.32"/>
    <n v="99"/>
  </r>
  <r>
    <s v="e2a1ac9bf33e5549a2a4f834e70df2f8"/>
    <x v="0"/>
    <n v="5"/>
    <n v="5"/>
    <n v="15200.56"/>
    <n v="4.8"/>
    <n v="100"/>
  </r>
  <r>
    <s v="c6bda72e4dbf5c5866b13cb1810c6d03"/>
    <x v="0"/>
    <n v="59"/>
    <n v="59"/>
    <n v="15196.12"/>
    <n v="4.4000000000000004"/>
    <n v="96.6"/>
  </r>
  <r>
    <s v="440dd6ab244315c632130ecfb63827b1"/>
    <x v="0"/>
    <n v="91"/>
    <n v="92"/>
    <n v="15135.68"/>
    <n v="3.89"/>
    <n v="87"/>
  </r>
  <r>
    <s v="431af27f296bc6519d890aa5a05fdb11"/>
    <x v="0"/>
    <n v="116"/>
    <n v="124"/>
    <n v="15103.05"/>
    <n v="3.8"/>
    <n v="86.3"/>
  </r>
  <r>
    <s v="05f51e13da97139648b8125c31e5f51b"/>
    <x v="3"/>
    <n v="57"/>
    <n v="60"/>
    <n v="14988.96"/>
    <n v="4.25"/>
    <n v="85"/>
  </r>
  <r>
    <s v="a7f13822ceb966b076af67121f87b063"/>
    <x v="0"/>
    <n v="73"/>
    <n v="84"/>
    <n v="14980.43"/>
    <n v="3.49"/>
    <n v="96.4"/>
  </r>
  <r>
    <s v="00fc707aaaad2d31347cf883cd2dfe10"/>
    <x v="4"/>
    <n v="103"/>
    <n v="135"/>
    <n v="14969.99"/>
    <n v="3.79"/>
    <n v="96.3"/>
  </r>
  <r>
    <s v="d50d79cb34e38265a8649c383dcffd48"/>
    <x v="0"/>
    <n v="70"/>
    <n v="70"/>
    <n v="14944.68"/>
    <n v="4.25"/>
    <n v="95.7"/>
  </r>
  <r>
    <s v="ce7d1888639e6fb06b2749cbfdac1ff7"/>
    <x v="3"/>
    <n v="78"/>
    <n v="84"/>
    <n v="14876.54"/>
    <n v="4.1100000000000003"/>
    <n v="91.7"/>
  </r>
  <r>
    <s v="0ea22c1cfbdc755f86b9b54b39c16043"/>
    <x v="3"/>
    <n v="234"/>
    <n v="265"/>
    <n v="14824.08"/>
    <n v="4.34"/>
    <n v="99.2"/>
  </r>
  <r>
    <s v="9e6229250fedbe05838fef417b74e7fb"/>
    <x v="0"/>
    <n v="73"/>
    <n v="77"/>
    <n v="14797.26"/>
    <n v="3.9"/>
    <n v="97.4"/>
  </r>
  <r>
    <s v="0b35c634521043bf4b47e21547b99ab5"/>
    <x v="4"/>
    <n v="50"/>
    <n v="77"/>
    <n v="14690.79"/>
    <n v="3.53"/>
    <n v="88.3"/>
  </r>
  <r>
    <s v="48436dade18ac8b2bce089ec2a041202"/>
    <x v="0"/>
    <n v="134"/>
    <n v="147"/>
    <n v="14662.01"/>
    <n v="4.13"/>
    <n v="93.2"/>
  </r>
  <r>
    <s v="ef506c96320abeedfb894c34db06f478"/>
    <x v="0"/>
    <n v="316"/>
    <n v="332"/>
    <n v="14648.8"/>
    <n v="3.93"/>
    <n v="91.9"/>
  </r>
  <r>
    <s v="f08a5b9dd6767129688d001acafc21e5"/>
    <x v="8"/>
    <n v="11"/>
    <n v="18"/>
    <n v="14565.74"/>
    <n v="3.44"/>
    <n v="100"/>
  </r>
  <r>
    <s v="2e1c9f22be269ef4643f826c9e650a52"/>
    <x v="0"/>
    <n v="161"/>
    <n v="167"/>
    <n v="14491.52"/>
    <n v="4.2300000000000004"/>
    <n v="94"/>
  </r>
  <r>
    <s v="e26901d5ab434ce92fd9b5c256820a4e"/>
    <x v="0"/>
    <n v="197"/>
    <n v="215"/>
    <n v="14481.63"/>
    <n v="4.1399999999999997"/>
    <n v="98.6"/>
  </r>
  <r>
    <s v="610f72e407cdd7caaa2f8167b0163fd8"/>
    <x v="0"/>
    <n v="16"/>
    <n v="17"/>
    <n v="14429.45"/>
    <n v="3.71"/>
    <n v="88.2"/>
  </r>
  <r>
    <s v="34d1ca11b242c0fee2c834ae8d788566"/>
    <x v="3"/>
    <n v="40"/>
    <n v="41"/>
    <n v="14404.28"/>
    <n v="4.3"/>
    <n v="100"/>
  </r>
  <r>
    <s v="d05ae8f7a5bd1d2a690a44cd079e4e27"/>
    <x v="2"/>
    <n v="77"/>
    <n v="80"/>
    <n v="14385.65"/>
    <n v="3.82"/>
    <n v="93.8"/>
  </r>
  <r>
    <s v="d6b1ce66b035a475f00c017792ff9769"/>
    <x v="0"/>
    <n v="92"/>
    <n v="108"/>
    <n v="14315.88"/>
    <n v="4.17"/>
    <n v="93.5"/>
  </r>
  <r>
    <s v="a6bd7d1ccdac48c6b33b28596b7eb122"/>
    <x v="11"/>
    <n v="15"/>
    <n v="15"/>
    <n v="14306.91"/>
    <n v="3.5"/>
    <n v="93.3"/>
  </r>
  <r>
    <s v="8d956fec2e4337affcb520f56fd8cbfd"/>
    <x v="0"/>
    <n v="210"/>
    <n v="227"/>
    <n v="14302.05"/>
    <n v="4.2"/>
    <n v="94.3"/>
  </r>
  <r>
    <s v="813348c996469b40f2e028d5429d3495"/>
    <x v="0"/>
    <n v="172"/>
    <n v="195"/>
    <n v="14271.23"/>
    <n v="4.01"/>
    <n v="95.9"/>
  </r>
  <r>
    <s v="2b1a40c1daabc6ca280c4b815c101841"/>
    <x v="3"/>
    <n v="22"/>
    <n v="33"/>
    <n v="14175.74"/>
    <n v="3.79"/>
    <n v="97"/>
  </r>
  <r>
    <s v="240b9776d844d37535668549a396af32"/>
    <x v="2"/>
    <n v="35"/>
    <n v="35"/>
    <n v="14171.65"/>
    <n v="4.34"/>
    <n v="97.1"/>
  </r>
  <r>
    <s v="ff063b022a9a0aab91bad2c9088760b7"/>
    <x v="0"/>
    <n v="94"/>
    <n v="96"/>
    <n v="14061.27"/>
    <n v="4.28"/>
    <n v="96.9"/>
  </r>
  <r>
    <s v="95e03ca3d4146e4011985981aeb959b9"/>
    <x v="2"/>
    <n v="172"/>
    <n v="190"/>
    <n v="14054.46"/>
    <n v="4.01"/>
    <n v="96.8"/>
  </r>
  <r>
    <s v="1ca7077d890b907f89be8c954a02686a"/>
    <x v="0"/>
    <n v="108"/>
    <n v="127"/>
    <n v="13996.65"/>
    <n v="2.27"/>
    <n v="85"/>
  </r>
  <r>
    <s v="75d34ebb1bd0bd7dde40dd507b8169c3"/>
    <x v="1"/>
    <n v="57"/>
    <n v="67"/>
    <n v="13969.77"/>
    <n v="3.99"/>
    <n v="88.1"/>
  </r>
  <r>
    <s v="cab85505710c7cb9b720bceb52b01cee"/>
    <x v="0"/>
    <n v="201"/>
    <n v="204"/>
    <n v="13951.99"/>
    <n v="4.34"/>
    <n v="98"/>
  </r>
  <r>
    <s v="0be8ff43f22e456b4e0371b2245e4d01"/>
    <x v="0"/>
    <n v="156"/>
    <n v="175"/>
    <n v="13844.49"/>
    <n v="3.97"/>
    <n v="93.7"/>
  </r>
  <r>
    <s v="b372ee768ed69e46ca8cdbd267aa7a38"/>
    <x v="0"/>
    <n v="63"/>
    <n v="69"/>
    <n v="13813.84"/>
    <n v="4.4000000000000004"/>
    <n v="100"/>
  </r>
  <r>
    <s v="80e6699fe29150b372a0c8a1ebf7dcc8"/>
    <x v="4"/>
    <n v="96"/>
    <n v="98"/>
    <n v="13786.81"/>
    <n v="4.3499999999999996"/>
    <n v="96.9"/>
  </r>
  <r>
    <s v="e24fc9fcd865784fb25705606fe3dfe7"/>
    <x v="0"/>
    <n v="51"/>
    <n v="55"/>
    <n v="13780.71"/>
    <n v="4.18"/>
    <n v="92.7"/>
  </r>
  <r>
    <s v="8cc6a0e5738e61a87b03c78b2ba9db4b"/>
    <x v="3"/>
    <n v="23"/>
    <n v="24"/>
    <n v="13776.6"/>
    <n v="4.42"/>
    <n v="91.7"/>
  </r>
  <r>
    <s v="99eaacc9e6046db1c82b163c5f84869f"/>
    <x v="0"/>
    <n v="63"/>
    <n v="67"/>
    <n v="13723.94"/>
    <n v="4.01"/>
    <n v="89.6"/>
  </r>
  <r>
    <s v="6cd68b3ed6d59aaa9fece558ad360c0a"/>
    <x v="3"/>
    <n v="149"/>
    <n v="157"/>
    <n v="13718.46"/>
    <n v="4.45"/>
    <n v="98.7"/>
  </r>
  <r>
    <s v="5a8e7d5003a1f221f9e1d6e411de7c23"/>
    <x v="0"/>
    <n v="137"/>
    <n v="179"/>
    <n v="13708.8"/>
    <n v="4.1900000000000004"/>
    <n v="95.5"/>
  </r>
  <r>
    <s v="adbc26658d6c7b4b6219f9d934598091"/>
    <x v="4"/>
    <n v="88"/>
    <n v="92"/>
    <n v="13692.25"/>
    <n v="4.05"/>
    <n v="87"/>
  </r>
  <r>
    <s v="c8b0e2b0a7095e5d8219575d5e7e1181"/>
    <x v="0"/>
    <n v="84"/>
    <n v="85"/>
    <n v="13657.34"/>
    <n v="4.05"/>
    <n v="92.9"/>
  </r>
  <r>
    <s v="70c27847eca8195c983ed7e798c56743"/>
    <x v="2"/>
    <n v="77"/>
    <n v="98"/>
    <n v="13529.18"/>
    <n v="4.2"/>
    <n v="92.9"/>
  </r>
  <r>
    <s v="056b4ada5bbc2c50cc7842547dda6b51"/>
    <x v="2"/>
    <n v="64"/>
    <n v="65"/>
    <n v="13485.79"/>
    <n v="4.16"/>
    <n v="89.2"/>
  </r>
  <r>
    <s v="e8b3a3a38279a82f0e5d006d5e5b7d2c"/>
    <x v="4"/>
    <n v="80"/>
    <n v="85"/>
    <n v="13408.21"/>
    <n v="3.93"/>
    <n v="96.5"/>
  </r>
  <r>
    <s v="ed4acab38528488b65a9a9c603ff024a"/>
    <x v="0"/>
    <n v="32"/>
    <n v="40"/>
    <n v="13369.76"/>
    <n v="3.73"/>
    <n v="97.5"/>
  </r>
  <r>
    <s v="87b740daf17b5d1be335a64164ec6842"/>
    <x v="0"/>
    <n v="11"/>
    <n v="11"/>
    <n v="13354.83"/>
    <n v="3.73"/>
    <n v="90.9"/>
  </r>
  <r>
    <s v="09f952a5f58d2285b0372551ae8f9b01"/>
    <x v="0"/>
    <n v="50"/>
    <n v="56"/>
    <n v="13346.46"/>
    <n v="3.88"/>
    <n v="94.6"/>
  </r>
  <r>
    <s v="1d8dbc4f32378d715c717c1c1fc57bae"/>
    <x v="4"/>
    <n v="91"/>
    <n v="97"/>
    <n v="13291.14"/>
    <n v="3.93"/>
    <n v="91.8"/>
  </r>
  <r>
    <s v="ad97a199236354e53fcd91a5a913e9a2"/>
    <x v="6"/>
    <n v="16"/>
    <n v="17"/>
    <n v="13284.02"/>
    <n v="4.47"/>
    <n v="88.2"/>
  </r>
  <r>
    <s v="039e6ad9dae79614493083e241147386"/>
    <x v="0"/>
    <n v="5"/>
    <n v="5"/>
    <n v="13273.42"/>
    <n v="4"/>
    <n v="80"/>
  </r>
  <r>
    <s v="25e6ffe976bd75618accfe16cefcbd0d"/>
    <x v="0"/>
    <n v="106"/>
    <n v="115"/>
    <n v="13239.8"/>
    <n v="4.42"/>
    <n v="97.4"/>
  </r>
  <r>
    <s v="7202e2ba20579a9bd1acb29e61fe71f6"/>
    <x v="0"/>
    <n v="51"/>
    <n v="53"/>
    <n v="13217.21"/>
    <n v="3.94"/>
    <n v="96.2"/>
  </r>
  <r>
    <s v="c66dccfb3f109511246da627dd5a2498"/>
    <x v="0"/>
    <n v="44"/>
    <n v="44"/>
    <n v="13127.29"/>
    <n v="4.57"/>
    <n v="95.5"/>
  </r>
  <r>
    <s v="8b8cfc8305aa441e4239358c9f6f2485"/>
    <x v="4"/>
    <n v="15"/>
    <n v="15"/>
    <n v="13110.7"/>
    <n v="4.2"/>
    <n v="86.7"/>
  </r>
  <r>
    <s v="562fc2f2c2863ab7e79a9e4388a58a14"/>
    <x v="0"/>
    <n v="255"/>
    <n v="265"/>
    <n v="12884.21"/>
    <n v="4.25"/>
    <n v="97"/>
  </r>
  <r>
    <s v="1da3aeb70d7989d1e6d9b0e887f97c23"/>
    <x v="0"/>
    <n v="261"/>
    <n v="324"/>
    <n v="12867.08"/>
    <n v="4.08"/>
    <n v="96"/>
  </r>
  <r>
    <s v="b4f8921fcc4ff77b66bea6dda43dcd51"/>
    <x v="8"/>
    <n v="18"/>
    <n v="20"/>
    <n v="12863.41"/>
    <n v="4.5999999999999996"/>
    <n v="95"/>
  </r>
  <r>
    <s v="d1b65fc7debc3361ea86b5f14c68d2e2"/>
    <x v="0"/>
    <n v="39"/>
    <n v="40"/>
    <n v="12823.32"/>
    <n v="4.6500000000000004"/>
    <n v="97.5"/>
  </r>
  <r>
    <s v="5058e8c1e82653974541e83690655b4a"/>
    <x v="0"/>
    <n v="62"/>
    <n v="77"/>
    <n v="12821.46"/>
    <n v="3.08"/>
    <n v="89.6"/>
  </r>
  <r>
    <s v="6e386f64c84e482f0b9abf960797ee1b"/>
    <x v="0"/>
    <n v="29"/>
    <n v="29"/>
    <n v="12820.81"/>
    <n v="4.6100000000000003"/>
    <n v="93.1"/>
  </r>
  <r>
    <s v="ccb83a794700270fde70898fe9ff368b"/>
    <x v="6"/>
    <n v="12"/>
    <n v="12"/>
    <n v="12785.73"/>
    <n v="4.33"/>
    <n v="83.3"/>
  </r>
  <r>
    <s v="c9c7905cffc4ef9ff9f113554423e671"/>
    <x v="0"/>
    <n v="127"/>
    <n v="139"/>
    <n v="12766.71"/>
    <n v="4.16"/>
    <n v="92.8"/>
  </r>
  <r>
    <s v="fbc14c0cf93505ef89f64665ffa4a7b5"/>
    <x v="0"/>
    <n v="18"/>
    <n v="18"/>
    <n v="12758.93"/>
    <n v="4.18"/>
    <n v="94.4"/>
  </r>
  <r>
    <s v="b499c00f28f4b7069ff6550af8c1348a"/>
    <x v="0"/>
    <n v="147"/>
    <n v="182"/>
    <n v="12665.78"/>
    <n v="4.2300000000000004"/>
    <n v="89"/>
  </r>
  <r>
    <s v="f262cbc1c910c83959f849465454ddd3"/>
    <x v="0"/>
    <n v="189"/>
    <n v="204"/>
    <n v="12654.9"/>
    <n v="4.12"/>
    <n v="92.6"/>
  </r>
  <r>
    <s v="72c5da29406b4234927b81855e7b64f6"/>
    <x v="0"/>
    <n v="31"/>
    <n v="31"/>
    <n v="12652.47"/>
    <n v="4.13"/>
    <n v="96.8"/>
  </r>
  <r>
    <s v="66e0557ecc2b4dbea057e93f215f68d8"/>
    <x v="0"/>
    <n v="30"/>
    <n v="30"/>
    <n v="12628.42"/>
    <n v="4.03"/>
    <n v="80"/>
  </r>
  <r>
    <s v="dd2bdf855a9172734fbc3744021ae9b9"/>
    <x v="3"/>
    <n v="105"/>
    <n v="110"/>
    <n v="12599.01"/>
    <n v="3.82"/>
    <n v="94.5"/>
  </r>
  <r>
    <s v="ca3bd7cd9f149df75950150d010fe4a2"/>
    <x v="0"/>
    <n v="68"/>
    <n v="135"/>
    <n v="12572.36"/>
    <n v="3.79"/>
    <n v="99.3"/>
  </r>
  <r>
    <s v="1c129092bf23f28a5930387c980c0dfc"/>
    <x v="0"/>
    <n v="200"/>
    <n v="219"/>
    <n v="12550.19"/>
    <n v="4.18"/>
    <n v="95.9"/>
  </r>
  <r>
    <s v="4830e40640734fc1c52cd21127c341d4"/>
    <x v="0"/>
    <n v="204"/>
    <n v="212"/>
    <n v="12502.42"/>
    <n v="4.18"/>
    <n v="95.3"/>
  </r>
  <r>
    <s v="7901646fdd36a55f564ffaf2dbccaaf7"/>
    <x v="2"/>
    <n v="22"/>
    <n v="27"/>
    <n v="12478.83"/>
    <n v="4.4400000000000004"/>
    <n v="92.6"/>
  </r>
  <r>
    <s v="7ea5bfa6c340f58f8e71fc1f0412b0d6"/>
    <x v="3"/>
    <n v="96"/>
    <n v="102"/>
    <n v="12470.26"/>
    <n v="4.1399999999999997"/>
    <n v="94.1"/>
  </r>
  <r>
    <s v="54965bbe3e4f07ae045b90b0b8541f52"/>
    <x v="4"/>
    <n v="73"/>
    <n v="81"/>
    <n v="12427.96"/>
    <n v="3.07"/>
    <n v="67.900000000000006"/>
  </r>
  <r>
    <s v="7040e82f899a04d1b434b795a43b4617"/>
    <x v="0"/>
    <n v="208"/>
    <n v="223"/>
    <n v="12336.96"/>
    <n v="3.59"/>
    <n v="92.8"/>
  </r>
  <r>
    <s v="c864036feaab8c1659f65ea4faebe1da"/>
    <x v="4"/>
    <n v="58"/>
    <n v="58"/>
    <n v="12299.77"/>
    <n v="4.57"/>
    <n v="96.6"/>
  </r>
  <r>
    <s v="82e0a475a88cc9595229d8029273f045"/>
    <x v="0"/>
    <n v="41"/>
    <n v="79"/>
    <n v="12216.4"/>
    <n v="3.38"/>
    <n v="93.7"/>
  </r>
  <r>
    <s v="5343d0649eca2a983820bfe93fc4d17e"/>
    <x v="0"/>
    <n v="70"/>
    <n v="110"/>
    <n v="12194.09"/>
    <n v="3.64"/>
    <n v="90.9"/>
  </r>
  <r>
    <s v="33a6f4b1e7cdc205511e76ba1b6e0186"/>
    <x v="0"/>
    <n v="105"/>
    <n v="126"/>
    <n v="12183.91"/>
    <n v="4.3600000000000003"/>
    <n v="98.4"/>
  </r>
  <r>
    <s v="c4d51195486dc781531876a7d00453d8"/>
    <x v="0"/>
    <n v="17"/>
    <n v="17"/>
    <n v="12038.35"/>
    <n v="3.94"/>
    <n v="70.599999999999994"/>
  </r>
  <r>
    <s v="bba3293d6f5d5af2f415e004e8b93ae3"/>
    <x v="0"/>
    <n v="17"/>
    <n v="17"/>
    <n v="12028.79"/>
    <n v="4.29"/>
    <n v="94.1"/>
  </r>
  <r>
    <s v="dd7ddc04e1b6c2c614352b383efe2d36"/>
    <x v="0"/>
    <n v="121"/>
    <n v="142"/>
    <n v="12025.18"/>
    <n v="3.78"/>
    <n v="88.7"/>
  </r>
  <r>
    <s v="17ca9b9e9b9ef8fdb529001b49ebb50f"/>
    <x v="3"/>
    <n v="115"/>
    <n v="128"/>
    <n v="11998.82"/>
    <n v="4.03"/>
    <n v="99.2"/>
  </r>
  <r>
    <s v="c60b801f2d52c7f7f91de00870882a75"/>
    <x v="0"/>
    <n v="39"/>
    <n v="39"/>
    <n v="11994.94"/>
    <n v="3.44"/>
    <n v="84.6"/>
  </r>
  <r>
    <s v="23d7c96d4a1160db1c726b248601b25a"/>
    <x v="0"/>
    <n v="50"/>
    <n v="52"/>
    <n v="11947.17"/>
    <n v="3.93"/>
    <n v="90.4"/>
  </r>
  <r>
    <s v="f3b80352b986ab4d1057a4b724be19d0"/>
    <x v="10"/>
    <n v="86"/>
    <n v="91"/>
    <n v="11941.36"/>
    <n v="4.16"/>
    <n v="100"/>
  </r>
  <r>
    <s v="4e7c18b98d84e05cbae3ff0ff03846c2"/>
    <x v="0"/>
    <n v="81"/>
    <n v="88"/>
    <n v="11862.36"/>
    <n v="4.17"/>
    <n v="96.6"/>
  </r>
  <r>
    <s v="32b8764b4ef628b53608fc34011fcc13"/>
    <x v="6"/>
    <n v="36"/>
    <n v="38"/>
    <n v="11854.42"/>
    <n v="4.24"/>
    <n v="97.4"/>
  </r>
  <r>
    <s v="9d5a9018aee56acb367ba9c3f05d1d6a"/>
    <x v="12"/>
    <n v="66"/>
    <n v="78"/>
    <n v="11791.39"/>
    <n v="4.4400000000000004"/>
    <n v="98.7"/>
  </r>
  <r>
    <s v="f80edd2c5aaa505cc4b0a3b219abf4b8"/>
    <x v="0"/>
    <n v="116"/>
    <n v="125"/>
    <n v="11790.62"/>
    <n v="4.1399999999999997"/>
    <n v="93.6"/>
  </r>
  <r>
    <s v="6973a06f484aacf400ece213dbf3d946"/>
    <x v="0"/>
    <n v="89"/>
    <n v="108"/>
    <n v="11706.59"/>
    <n v="3.67"/>
    <n v="85.2"/>
  </r>
  <r>
    <s v="aafe36600ce604f205b86b5084d3d767"/>
    <x v="6"/>
    <n v="129"/>
    <n v="131"/>
    <n v="11673.2"/>
    <n v="4.38"/>
    <n v="96.2"/>
  </r>
  <r>
    <s v="aaed1309374718fdd995ee4c58c9dfcd"/>
    <x v="6"/>
    <n v="104"/>
    <n v="111"/>
    <n v="11659.73"/>
    <n v="4.05"/>
    <n v="97.3"/>
  </r>
  <r>
    <s v="ce27a3cc3c8cc1ea79d11e561e9bebb6"/>
    <x v="0"/>
    <n v="122"/>
    <n v="151"/>
    <n v="11620.12"/>
    <n v="4.12"/>
    <n v="98.7"/>
  </r>
  <r>
    <s v="5d378b73ab7dd6f0418d743e5dcb0bd1"/>
    <x v="0"/>
    <n v="6"/>
    <n v="6"/>
    <n v="11612.7"/>
    <n v="3.83"/>
    <n v="83.3"/>
  </r>
  <r>
    <s v="31344c16881c08a8a72c6d2eb29918c1"/>
    <x v="3"/>
    <n v="42"/>
    <n v="42"/>
    <n v="11574.35"/>
    <n v="4.43"/>
    <n v="95.2"/>
  </r>
  <r>
    <s v="8b28d096634035667e8263d57ba3368c"/>
    <x v="0"/>
    <n v="139"/>
    <n v="151"/>
    <n v="11533.04"/>
    <n v="3.9"/>
    <n v="87.4"/>
  </r>
  <r>
    <s v="3db66a856d18a9cba7c9241fc5221c50"/>
    <x v="3"/>
    <n v="94"/>
    <n v="97"/>
    <n v="11522.66"/>
    <n v="4.1900000000000004"/>
    <n v="89.7"/>
  </r>
  <r>
    <s v="01cf7e3d21494c41fb86034f2e714fa1"/>
    <x v="4"/>
    <n v="59"/>
    <n v="65"/>
    <n v="11404.01"/>
    <n v="4.1900000000000004"/>
    <n v="95.4"/>
  </r>
  <r>
    <s v="0df3984f9dfb3d49ac6366acbd3bbb85"/>
    <x v="3"/>
    <n v="86"/>
    <n v="88"/>
    <n v="11374.54"/>
    <n v="4.34"/>
    <n v="98.9"/>
  </r>
  <r>
    <s v="9d4db00d65d7760644ac0c14edb5fd86"/>
    <x v="0"/>
    <n v="97"/>
    <n v="99"/>
    <n v="11355.3"/>
    <n v="4.54"/>
    <n v="96"/>
  </r>
  <r>
    <s v="9b013e03b2ab786505a1d3b5c0756754"/>
    <x v="0"/>
    <n v="170"/>
    <n v="220"/>
    <n v="11270.83"/>
    <n v="4.0599999999999996"/>
    <n v="96.8"/>
  </r>
  <r>
    <s v="92eb0f42c21942b6552362b9b114707d"/>
    <x v="0"/>
    <n v="334"/>
    <n v="358"/>
    <n v="11262.04"/>
    <n v="3.96"/>
    <n v="95.5"/>
  </r>
  <r>
    <s v="5656537e588803a555b8eb41f07a944b"/>
    <x v="10"/>
    <n v="171"/>
    <n v="185"/>
    <n v="11255.55"/>
    <n v="3.82"/>
    <n v="94.1"/>
  </r>
  <r>
    <s v="ea566164622c6b439516ab18062c42cd"/>
    <x v="0"/>
    <n v="50"/>
    <n v="52"/>
    <n v="11167.98"/>
    <n v="3.75"/>
    <n v="80.8"/>
  </r>
  <r>
    <s v="fffd5413c0700ac820c7069d66d98c89"/>
    <x v="0"/>
    <n v="57"/>
    <n v="58"/>
    <n v="11125.3"/>
    <n v="3.91"/>
    <n v="87.9"/>
  </r>
  <r>
    <s v="6c7d50c24b3ccd2fd83b44d8bb34e073"/>
    <x v="0"/>
    <n v="112"/>
    <n v="126"/>
    <n v="11123.79"/>
    <n v="4.4400000000000004"/>
    <n v="98.4"/>
  </r>
  <r>
    <s v="81a1104df0f08b59c68aa5b03cfe398e"/>
    <x v="4"/>
    <n v="72"/>
    <n v="72"/>
    <n v="11115.43"/>
    <n v="4.3099999999999996"/>
    <n v="95.8"/>
  </r>
  <r>
    <s v="bd23da7354813347129d751591d1a6e2"/>
    <x v="0"/>
    <n v="86"/>
    <n v="87"/>
    <n v="11089.16"/>
    <n v="4.13"/>
    <n v="97.7"/>
  </r>
  <r>
    <s v="259f7b5e6e482c230e5bfaa670b6bb8f"/>
    <x v="0"/>
    <n v="136"/>
    <n v="162"/>
    <n v="11087.42"/>
    <n v="4.2699999999999996"/>
    <n v="98.8"/>
  </r>
  <r>
    <s v="0db783cfcd3b73998abc6e10e59a102f"/>
    <x v="0"/>
    <n v="132"/>
    <n v="137"/>
    <n v="11076.55"/>
    <n v="4.21"/>
    <n v="96.4"/>
  </r>
  <r>
    <s v="1c5e4e49b9079480255b49d50aac1aa9"/>
    <x v="0"/>
    <n v="12"/>
    <n v="12"/>
    <n v="11062.72"/>
    <n v="4.33"/>
    <n v="100"/>
  </r>
  <r>
    <s v="cbd996ad3c1b7dc71fd0e5f5df9087e2"/>
    <x v="0"/>
    <n v="160"/>
    <n v="189"/>
    <n v="10989.44"/>
    <n v="4.13"/>
    <n v="92.1"/>
  </r>
  <r>
    <s v="c510bc1718f0f2961eaa42a23330681a"/>
    <x v="0"/>
    <n v="12"/>
    <n v="12"/>
    <n v="10851.45"/>
    <n v="4.25"/>
    <n v="100"/>
  </r>
  <r>
    <s v="e5a3438891c0bfdb9394643f95273d8e"/>
    <x v="0"/>
    <n v="216"/>
    <n v="247"/>
    <n v="10830.7"/>
    <n v="3.89"/>
    <n v="84.2"/>
  </r>
  <r>
    <s v="624f4ece8da4aafb77699233d480f8ef"/>
    <x v="0"/>
    <n v="52"/>
    <n v="54"/>
    <n v="10751.55"/>
    <n v="4.1900000000000004"/>
    <n v="92.6"/>
  </r>
  <r>
    <s v="5882820ef11c4c068eea0677a7a879b4"/>
    <x v="8"/>
    <n v="14"/>
    <n v="14"/>
    <n v="10664.81"/>
    <n v="4.1500000000000004"/>
    <n v="100"/>
  </r>
  <r>
    <s v="b92e3c8f9738272ff7c59e111e108d7c"/>
    <x v="3"/>
    <n v="62"/>
    <n v="70"/>
    <n v="10645.3"/>
    <n v="4.0599999999999996"/>
    <n v="97.1"/>
  </r>
  <r>
    <s v="066a6914e1ebf3ea95a216c73a986b91"/>
    <x v="4"/>
    <n v="66"/>
    <n v="72"/>
    <n v="10611.56"/>
    <n v="3.97"/>
    <n v="95.8"/>
  </r>
  <r>
    <s v="7b1222c3624aa89b9558b50a2594188c"/>
    <x v="0"/>
    <n v="22"/>
    <n v="22"/>
    <n v="10561.09"/>
    <n v="4.45"/>
    <n v="86.4"/>
  </r>
  <r>
    <s v="7b07b3c7487f0ea825fc6df75abd658b"/>
    <x v="0"/>
    <n v="91"/>
    <n v="96"/>
    <n v="10552.16"/>
    <n v="4.4000000000000004"/>
    <n v="95.8"/>
  </r>
  <r>
    <s v="7008613ea464bad5cb9b83456e1e6a8f"/>
    <x v="6"/>
    <n v="123"/>
    <n v="152"/>
    <n v="10488.04"/>
    <n v="4.29"/>
    <n v="96.1"/>
  </r>
  <r>
    <s v="f27e33c6d29b5138fa9967bcd445b6d5"/>
    <x v="0"/>
    <n v="93"/>
    <n v="98"/>
    <n v="10482.25"/>
    <n v="4.09"/>
    <n v="91.8"/>
  </r>
  <r>
    <s v="06532f10282704ef4c69168b914b77be"/>
    <x v="4"/>
    <n v="7"/>
    <n v="8"/>
    <n v="10460.75"/>
    <n v="4.63"/>
    <n v="100"/>
  </r>
  <r>
    <s v="a49928bcdf77c55c6d6e05e09a9b4ca5"/>
    <x v="0"/>
    <n v="96"/>
    <n v="104"/>
    <n v="10373.82"/>
    <n v="2.97"/>
    <n v="78.8"/>
  </r>
  <r>
    <s v="b2ac621f0d0322434d04a12b078b9369"/>
    <x v="4"/>
    <n v="30"/>
    <n v="30"/>
    <n v="10356.89"/>
    <n v="4.4000000000000004"/>
    <n v="90"/>
  </r>
  <r>
    <s v="cb8bcce248bb1fb274ba762d8b971456"/>
    <x v="3"/>
    <n v="66"/>
    <n v="67"/>
    <n v="10352.49"/>
    <n v="4.34"/>
    <n v="98.5"/>
  </r>
  <r>
    <s v="0bae85eb84b9fb3bd773911e89288d54"/>
    <x v="0"/>
    <n v="136"/>
    <n v="145"/>
    <n v="10340.56"/>
    <n v="4.2300000000000004"/>
    <n v="99.3"/>
  </r>
  <r>
    <s v="e96498ed8daaa3e9c23f7a62da76591c"/>
    <x v="0"/>
    <n v="34"/>
    <n v="34"/>
    <n v="10332.19"/>
    <n v="3.94"/>
    <n v="85.3"/>
  </r>
  <r>
    <s v="048c2757535328e0d7dac690ad3c0aae"/>
    <x v="0"/>
    <n v="50"/>
    <n v="50"/>
    <n v="10312.41"/>
    <n v="4.24"/>
    <n v="88"/>
  </r>
  <r>
    <s v="b1a81260566c1bac3114a6d124413f27"/>
    <x v="8"/>
    <n v="51"/>
    <n v="54"/>
    <n v="10250.200000000001"/>
    <n v="4.22"/>
    <n v="100"/>
  </r>
  <r>
    <s v="d98eec89afa3380e14463da2aabaea72"/>
    <x v="8"/>
    <n v="168"/>
    <n v="183"/>
    <n v="10225.31"/>
    <n v="4.29"/>
    <n v="97.8"/>
  </r>
  <r>
    <s v="b1fc4f64df5a0e8b6913ab38803c57a9"/>
    <x v="2"/>
    <n v="107"/>
    <n v="121"/>
    <n v="10140.99"/>
    <n v="3.78"/>
    <n v="88.4"/>
  </r>
  <r>
    <s v="3c487ae8f8d7542beff5788e2e0aea83"/>
    <x v="10"/>
    <n v="30"/>
    <n v="33"/>
    <n v="10105.35"/>
    <n v="3.91"/>
    <n v="97"/>
  </r>
  <r>
    <s v="5b8154610ebb21fb90eb587365e673df"/>
    <x v="0"/>
    <n v="37"/>
    <n v="40"/>
    <n v="10096.719999999999"/>
    <n v="4.17"/>
    <n v="85"/>
  </r>
  <r>
    <s v="05feb94f19d094d4b0f9281f0b1d4c99"/>
    <x v="0"/>
    <n v="6"/>
    <n v="6"/>
    <n v="10050.040000000001"/>
    <n v="4.5"/>
    <n v="100"/>
  </r>
  <r>
    <s v="cf8ab1616079e2793aa29d524df01bb1"/>
    <x v="0"/>
    <n v="6"/>
    <n v="6"/>
    <n v="10031.56"/>
    <n v="2.5"/>
    <n v="83.3"/>
  </r>
  <r>
    <s v="e7df4cd29ab5abab70fb0783ddb53987"/>
    <x v="0"/>
    <n v="23"/>
    <n v="24"/>
    <n v="10022.07"/>
    <n v="4.29"/>
    <n v="91.7"/>
  </r>
  <r>
    <s v="972d0f9cf61b499a4812cf0bfa3ad3c4"/>
    <x v="6"/>
    <n v="81"/>
    <n v="86"/>
    <n v="10011.15"/>
    <n v="2.96"/>
    <n v="88.4"/>
  </r>
  <r>
    <s v="febab0275244b9a49a623f0bd613ca2f"/>
    <x v="0"/>
    <n v="106"/>
    <n v="126"/>
    <n v="10001.31"/>
    <n v="4.32"/>
    <n v="96.8"/>
  </r>
  <r>
    <s v="5f2684dab12e59f83bef73ae57724e45"/>
    <x v="0"/>
    <n v="67"/>
    <n v="73"/>
    <n v="9980.7199999999993"/>
    <n v="3.75"/>
    <n v="94.5"/>
  </r>
  <r>
    <s v="8e8a7ce9f2f970dc00e2acf6f6e199f6"/>
    <x v="2"/>
    <n v="63"/>
    <n v="64"/>
    <n v="9968.7800000000007"/>
    <n v="4.0199999999999996"/>
    <n v="93.8"/>
  </r>
  <r>
    <s v="640e21a7d01df7614a3b4923e990d40c"/>
    <x v="0"/>
    <n v="115"/>
    <n v="136"/>
    <n v="9960.5499999999993"/>
    <n v="4.29"/>
    <n v="96.3"/>
  </r>
  <r>
    <s v="6d803cb79cc31c41c4c789a75933b3c7"/>
    <x v="0"/>
    <n v="58"/>
    <n v="66"/>
    <n v="9925.07"/>
    <n v="4.28"/>
    <n v="93.9"/>
  </r>
  <r>
    <s v="d71d863e5ef30d94e440c11be17dcd8f"/>
    <x v="0"/>
    <n v="23"/>
    <n v="30"/>
    <n v="9920.09"/>
    <n v="3.57"/>
    <n v="90"/>
  </r>
  <r>
    <s v="270297ead4c65a6cd2593960d2af6b21"/>
    <x v="0"/>
    <n v="17"/>
    <n v="19"/>
    <n v="9881.76"/>
    <n v="3.74"/>
    <n v="100"/>
  </r>
  <r>
    <s v="2dee2ce60de9709b1a24083217181a1f"/>
    <x v="13"/>
    <n v="54"/>
    <n v="55"/>
    <n v="9844.56"/>
    <n v="4.3600000000000003"/>
    <n v="96.4"/>
  </r>
  <r>
    <s v="a00824eb9093d40e589b940ec45c4eb0"/>
    <x v="0"/>
    <n v="3"/>
    <n v="3"/>
    <n v="9779.4599999999991"/>
    <n v="4.67"/>
    <n v="100"/>
  </r>
  <r>
    <s v="4371b634e0efc0e22b09b52907d9d469"/>
    <x v="0"/>
    <n v="101"/>
    <n v="111"/>
    <n v="9645.01"/>
    <n v="4.4400000000000004"/>
    <n v="93.7"/>
  </r>
  <r>
    <s v="d03698c2efd04a549382afa6623e27fb"/>
    <x v="1"/>
    <n v="18"/>
    <n v="21"/>
    <n v="9644.6200000000008"/>
    <n v="4.5199999999999996"/>
    <n v="95.2"/>
  </r>
  <r>
    <s v="6c12e40690c335dbc2f68a4134d30dc1"/>
    <x v="4"/>
    <n v="16"/>
    <n v="18"/>
    <n v="9624.26"/>
    <n v="4.0599999999999996"/>
    <n v="100"/>
  </r>
  <r>
    <s v="06df0c10d34e459d9672bc77388742eb"/>
    <x v="4"/>
    <n v="26"/>
    <n v="30"/>
    <n v="9595.77"/>
    <n v="4.37"/>
    <n v="96.7"/>
  </r>
  <r>
    <s v="7d456afc660226829370f3173d14520c"/>
    <x v="0"/>
    <n v="55"/>
    <n v="89"/>
    <n v="9579.5300000000007"/>
    <n v="4.26"/>
    <n v="95.5"/>
  </r>
  <r>
    <s v="8a432f4e5b471f8da497d7dc517666e2"/>
    <x v="0"/>
    <n v="95"/>
    <n v="106"/>
    <n v="9520.11"/>
    <n v="4.2"/>
    <n v="98.1"/>
  </r>
  <r>
    <s v="33a17d60c64393351ebf1ef860f4e0f2"/>
    <x v="8"/>
    <n v="43"/>
    <n v="47"/>
    <n v="9431.86"/>
    <n v="4.62"/>
    <n v="97.9"/>
  </r>
  <r>
    <s v="17306570e772e7718c92a562d33f5f1d"/>
    <x v="0"/>
    <n v="27"/>
    <n v="30"/>
    <n v="9415.91"/>
    <n v="3.77"/>
    <n v="93.3"/>
  </r>
  <r>
    <s v="9596c870880d900012f2e8e6e30d06d7"/>
    <x v="3"/>
    <n v="21"/>
    <n v="23"/>
    <n v="9371.7099999999991"/>
    <n v="4.17"/>
    <n v="95.7"/>
  </r>
  <r>
    <s v="af4a0e4cfe1d9c26b6712b1be25a72e5"/>
    <x v="3"/>
    <n v="21"/>
    <n v="26"/>
    <n v="9351.6"/>
    <n v="3.5"/>
    <n v="96.2"/>
  </r>
  <r>
    <s v="37515688008a7a40ac93e3b2e4ab203f"/>
    <x v="0"/>
    <n v="227"/>
    <n v="239"/>
    <n v="9350.75"/>
    <n v="4.09"/>
    <n v="92.1"/>
  </r>
  <r>
    <s v="ebd2d60905fb58271facef5596b620d3"/>
    <x v="0"/>
    <n v="82"/>
    <n v="85"/>
    <n v="9350.4"/>
    <n v="4.24"/>
    <n v="96.5"/>
  </r>
  <r>
    <s v="18a349e75d307f4b4cc646a691ed4216"/>
    <x v="0"/>
    <n v="109"/>
    <n v="128"/>
    <n v="9315.8700000000008"/>
    <n v="3.52"/>
    <n v="95.3"/>
  </r>
  <r>
    <s v="7a241947449cc45dbfda4f9d0798d9d0"/>
    <x v="3"/>
    <n v="56"/>
    <n v="66"/>
    <n v="9309.64"/>
    <n v="3.78"/>
    <n v="93.9"/>
  </r>
  <r>
    <s v="fdb9095204a334cd8872252ffec6f2db"/>
    <x v="0"/>
    <n v="46"/>
    <n v="61"/>
    <n v="9289.3700000000008"/>
    <n v="4.1399999999999997"/>
    <n v="95.1"/>
  </r>
  <r>
    <s v="609e1a9a6c2539919b8205cf7c4e6ff0"/>
    <x v="6"/>
    <n v="87"/>
    <n v="130"/>
    <n v="9282.42"/>
    <n v="3.6"/>
    <n v="98.5"/>
  </r>
  <r>
    <s v="3078096983cf766a32a06257648502d1"/>
    <x v="0"/>
    <n v="56"/>
    <n v="61"/>
    <n v="9281.09"/>
    <n v="4.3"/>
    <n v="96.7"/>
  </r>
  <r>
    <s v="db2956745b3a8e9f3785c99f34b5d25e"/>
    <x v="0"/>
    <n v="45"/>
    <n v="46"/>
    <n v="9208.26"/>
    <n v="3.8"/>
    <n v="91.3"/>
  </r>
  <r>
    <s v="4bfc7a4a1cf8d4d2121c27422d9e50b5"/>
    <x v="0"/>
    <n v="26"/>
    <n v="40"/>
    <n v="9191.59"/>
    <n v="4.22"/>
    <n v="97.5"/>
  </r>
  <r>
    <s v="725c32fa80c2faacc4fc88450d27314e"/>
    <x v="0"/>
    <n v="89"/>
    <n v="93"/>
    <n v="9166.66"/>
    <n v="4.54"/>
    <n v="98.9"/>
  </r>
  <r>
    <s v="750303a20e9c56b2a6bc45cdce0b897d"/>
    <x v="12"/>
    <n v="53"/>
    <n v="56"/>
    <n v="9164.82"/>
    <n v="4.34"/>
    <n v="96.4"/>
  </r>
  <r>
    <s v="403aa86912527d730337ffcb0fb096ab"/>
    <x v="3"/>
    <n v="11"/>
    <n v="11"/>
    <n v="9164.51"/>
    <n v="4"/>
    <n v="100"/>
  </r>
  <r>
    <s v="b4ffb71f0cb1b1c3d63fad021ecf93e1"/>
    <x v="0"/>
    <n v="143"/>
    <n v="164"/>
    <n v="9137.44"/>
    <n v="4.04"/>
    <n v="97.6"/>
  </r>
  <r>
    <s v="aac29b1b99776be73c3049939652091d"/>
    <x v="3"/>
    <n v="94"/>
    <n v="131"/>
    <n v="9133.2800000000007"/>
    <n v="4.01"/>
    <n v="90.8"/>
  </r>
  <r>
    <s v="bd0389da23d89b726abf911cccc54596"/>
    <x v="10"/>
    <n v="87"/>
    <n v="90"/>
    <n v="9128.4699999999993"/>
    <n v="4.2"/>
    <n v="93.3"/>
  </r>
  <r>
    <s v="6c177e38df6d3f34182b1f1d427231bf"/>
    <x v="4"/>
    <n v="53"/>
    <n v="54"/>
    <n v="9115.0499999999993"/>
    <n v="4.1500000000000004"/>
    <n v="98.1"/>
  </r>
  <r>
    <s v="7722b1df1b0e383e000397b2c11e3e19"/>
    <x v="0"/>
    <n v="133"/>
    <n v="144"/>
    <n v="9106.08"/>
    <n v="4.22"/>
    <n v="97.2"/>
  </r>
  <r>
    <s v="08633c14ef2db992c11f840f04fad4cd"/>
    <x v="0"/>
    <n v="74"/>
    <n v="97"/>
    <n v="9068.82"/>
    <n v="4.24"/>
    <n v="94.8"/>
  </r>
  <r>
    <s v="52d76513f0c4d97f3b99570e2c94ee31"/>
    <x v="8"/>
    <n v="19"/>
    <n v="28"/>
    <n v="9042.36"/>
    <n v="3.88"/>
    <n v="96.4"/>
  </r>
  <r>
    <s v="903037660cf848a717166eb7a06d616e"/>
    <x v="0"/>
    <n v="44"/>
    <n v="59"/>
    <n v="9019.17"/>
    <n v="3.81"/>
    <n v="88.1"/>
  </r>
  <r>
    <s v="054694fa03fe82cec4b7551487331d74"/>
    <x v="0"/>
    <n v="20"/>
    <n v="21"/>
    <n v="8946.34"/>
    <n v="3.29"/>
    <n v="71.400000000000006"/>
  </r>
  <r>
    <s v="36a968b544695394e4e9d7572688598f"/>
    <x v="0"/>
    <n v="148"/>
    <n v="156"/>
    <n v="8917.7000000000007"/>
    <n v="3.73"/>
    <n v="96.8"/>
  </r>
  <r>
    <s v="fcb5ace8bcc92f75707dc0f01a27d269"/>
    <x v="0"/>
    <n v="59"/>
    <n v="70"/>
    <n v="8914.84"/>
    <n v="3.9"/>
    <n v="97.1"/>
  </r>
  <r>
    <s v="6fd52c528dcb38be2eea044946b811f8"/>
    <x v="0"/>
    <n v="67"/>
    <n v="84"/>
    <n v="8881.58"/>
    <n v="3.5"/>
    <n v="89.3"/>
  </r>
  <r>
    <s v="257e61d3251fb5efb9daadddbc2cf7ca"/>
    <x v="4"/>
    <n v="12"/>
    <n v="12"/>
    <n v="8806.18"/>
    <n v="4.75"/>
    <n v="100"/>
  </r>
  <r>
    <s v="5b925e1d006e9476d738aa200751b73b"/>
    <x v="0"/>
    <n v="63"/>
    <n v="63"/>
    <n v="8801.84"/>
    <n v="4.5999999999999996"/>
    <n v="93.7"/>
  </r>
  <r>
    <s v="93dc87703c046b603023e75222018b45"/>
    <x v="3"/>
    <n v="33"/>
    <n v="34"/>
    <n v="8798.34"/>
    <n v="4.16"/>
    <n v="91.2"/>
  </r>
  <r>
    <s v="4e17c65a516f69d023a2ae78b84f28d6"/>
    <x v="0"/>
    <n v="61"/>
    <n v="74"/>
    <n v="8794.7999999999993"/>
    <n v="4.08"/>
    <n v="90.5"/>
  </r>
  <r>
    <s v="dbb9b48c841a0e39e21f98e1a6b2ec3e"/>
    <x v="0"/>
    <n v="108"/>
    <n v="118"/>
    <n v="8768.26"/>
    <n v="4.2"/>
    <n v="95.8"/>
  </r>
  <r>
    <s v="0432ead42b6c8a0bdf68154add917fdf"/>
    <x v="0"/>
    <n v="82"/>
    <n v="87"/>
    <n v="8754.4"/>
    <n v="4.55"/>
    <n v="97.7"/>
  </r>
  <r>
    <s v="784ba75dd9d20200c4caed3d7a77141a"/>
    <x v="0"/>
    <n v="19"/>
    <n v="22"/>
    <n v="8742.35"/>
    <n v="3.84"/>
    <n v="90.9"/>
  </r>
  <r>
    <s v="5d0363b33554b373851fc1622e4d5f3c"/>
    <x v="0"/>
    <n v="93"/>
    <n v="94"/>
    <n v="8724.27"/>
    <n v="4.09"/>
    <n v="91.5"/>
  </r>
  <r>
    <s v="e333046ce6517bd8bb510291d44f0130"/>
    <x v="0"/>
    <n v="68"/>
    <n v="74"/>
    <n v="8699.32"/>
    <n v="4.3899999999999997"/>
    <n v="95.9"/>
  </r>
  <r>
    <s v="062ce95fa2ad4dfaedfc79260130565f"/>
    <x v="8"/>
    <n v="54"/>
    <n v="59"/>
    <n v="8663.43"/>
    <n v="4.0199999999999996"/>
    <n v="96.6"/>
  </r>
  <r>
    <s v="8648b1e89e9b349e32d3741b30ec737e"/>
    <x v="0"/>
    <n v="93"/>
    <n v="100"/>
    <n v="8649.02"/>
    <n v="4.12"/>
    <n v="91"/>
  </r>
  <r>
    <s v="73a63f72308aa20a46f4b1632018f196"/>
    <x v="4"/>
    <n v="27"/>
    <n v="35"/>
    <n v="8638.1"/>
    <n v="4.32"/>
    <n v="100"/>
  </r>
  <r>
    <s v="397c4d0c005b6f41f90098ac724e28cb"/>
    <x v="0"/>
    <n v="5"/>
    <n v="5"/>
    <n v="8622.3700000000008"/>
    <n v="4.4000000000000004"/>
    <n v="60"/>
  </r>
  <r>
    <s v="bbf9ad41dca6603e614efcdad7aab8c4"/>
    <x v="14"/>
    <n v="14"/>
    <n v="14"/>
    <n v="8622.26"/>
    <n v="4.5"/>
    <n v="100"/>
  </r>
  <r>
    <s v="3bb548e3cb7f70f28e3f11ee9dce0e59"/>
    <x v="4"/>
    <n v="46"/>
    <n v="53"/>
    <n v="8586.81"/>
    <n v="3.98"/>
    <n v="100"/>
  </r>
  <r>
    <s v="b18dc380845b24038cfc48006478f099"/>
    <x v="0"/>
    <n v="43"/>
    <n v="48"/>
    <n v="8550.83"/>
    <n v="4.3"/>
    <n v="89.6"/>
  </r>
  <r>
    <s v="ececbfcff9804a2d6b40f589df8eef2b"/>
    <x v="0"/>
    <n v="97"/>
    <n v="103"/>
    <n v="8548.4599999999991"/>
    <n v="4.12"/>
    <n v="91.3"/>
  </r>
  <r>
    <s v="a420f60ff1aa9acc80d0e42959f2b313"/>
    <x v="0"/>
    <n v="67"/>
    <n v="69"/>
    <n v="8543.27"/>
    <n v="3.93"/>
    <n v="92.8"/>
  </r>
  <r>
    <s v="cc63f0dd2acba93ffed4fe9f8e0321fa"/>
    <x v="0"/>
    <n v="55"/>
    <n v="63"/>
    <n v="8496.68"/>
    <n v="4.05"/>
    <n v="100"/>
  </r>
  <r>
    <s v="67883baaae6134ee81b271a542613728"/>
    <x v="0"/>
    <n v="19"/>
    <n v="19"/>
    <n v="8496.02"/>
    <n v="4.1100000000000003"/>
    <n v="94.7"/>
  </r>
  <r>
    <s v="52f976b17ea7f2f087f56dcc419328f6"/>
    <x v="4"/>
    <n v="6"/>
    <n v="6"/>
    <n v="8492.65"/>
    <n v="3.67"/>
    <n v="100"/>
  </r>
  <r>
    <s v="86bb7c4b535e49a541baf3266b1c95b1"/>
    <x v="0"/>
    <n v="16"/>
    <n v="16"/>
    <n v="8487.2199999999993"/>
    <n v="3.2"/>
    <n v="81.3"/>
  </r>
  <r>
    <s v="8fb791022c1fc8909664f48ab7dc636d"/>
    <x v="0"/>
    <n v="5"/>
    <n v="5"/>
    <n v="8483.35"/>
    <n v="4.2"/>
    <n v="100"/>
  </r>
  <r>
    <s v="2c9e548be18521d1c43cde1c582c6de8"/>
    <x v="0"/>
    <n v="124"/>
    <n v="171"/>
    <n v="8470.09"/>
    <n v="3.95"/>
    <n v="83.6"/>
  </r>
  <r>
    <s v="a2e874074c877c5a05abae80ad6e488f"/>
    <x v="0"/>
    <n v="40"/>
    <n v="42"/>
    <n v="8460.34"/>
    <n v="4.1900000000000004"/>
    <n v="95.2"/>
  </r>
  <r>
    <s v="1127b7f2594683f2510f1c2c834a486b"/>
    <x v="0"/>
    <n v="110"/>
    <n v="128"/>
    <n v="8438.4"/>
    <n v="4.18"/>
    <n v="94.5"/>
  </r>
  <r>
    <s v="058fd0aa2bfdb2274e05e1ae971dabb6"/>
    <x v="0"/>
    <n v="60"/>
    <n v="63"/>
    <n v="8428.7800000000007"/>
    <n v="4.38"/>
    <n v="92.1"/>
  </r>
  <r>
    <s v="6bd69102ab48df500790a8cecfc285c2"/>
    <x v="0"/>
    <n v="5"/>
    <n v="5"/>
    <n v="8359.02"/>
    <n v="3"/>
    <n v="80"/>
  </r>
  <r>
    <s v="381c83fdca332ea6afd896da20bf6e4a"/>
    <x v="4"/>
    <n v="46"/>
    <n v="46"/>
    <n v="8355.01"/>
    <n v="4.3899999999999997"/>
    <n v="97.8"/>
  </r>
  <r>
    <s v="42bde9fef835393bb8a8849cb6b7f245"/>
    <x v="10"/>
    <n v="34"/>
    <n v="39"/>
    <n v="8341.3700000000008"/>
    <n v="4.28"/>
    <n v="97.4"/>
  </r>
  <r>
    <s v="8a32e327fe2c1b3511609d81aaf9f042"/>
    <x v="0"/>
    <n v="126"/>
    <n v="169"/>
    <n v="8338.86"/>
    <n v="3.94"/>
    <n v="94.1"/>
  </r>
  <r>
    <s v="282f23a9769b2690c5dda22e316f9941"/>
    <x v="3"/>
    <n v="98"/>
    <n v="109"/>
    <n v="8331.0499999999993"/>
    <n v="4.33"/>
    <n v="96.3"/>
  </r>
  <r>
    <s v="b410bdd36d5db7a65dcd42b7ead933b8"/>
    <x v="12"/>
    <n v="42"/>
    <n v="42"/>
    <n v="8319.7099999999991"/>
    <n v="4.8099999999999996"/>
    <n v="100"/>
  </r>
  <r>
    <s v="2089a6d640999f9b9141ac719b2af596"/>
    <x v="0"/>
    <n v="41"/>
    <n v="41"/>
    <n v="8316.6299999999992"/>
    <n v="3.93"/>
    <n v="87.8"/>
  </r>
  <r>
    <s v="aced59e9b31ef866a94f9e7f29d8d418"/>
    <x v="0"/>
    <n v="61"/>
    <n v="67"/>
    <n v="8315.7999999999993"/>
    <n v="4.45"/>
    <n v="97"/>
  </r>
  <r>
    <s v="c26a2be5b53b7db6b276280da212a779"/>
    <x v="2"/>
    <n v="13"/>
    <n v="18"/>
    <n v="8288.85"/>
    <n v="2.72"/>
    <n v="100"/>
  </r>
  <r>
    <s v="ad781527c93d00d89a11eecd9dcad7c1"/>
    <x v="0"/>
    <n v="38"/>
    <n v="38"/>
    <n v="8213.1200000000008"/>
    <n v="3.34"/>
    <n v="68.400000000000006"/>
  </r>
  <r>
    <s v="dbdd0ec73a4817971d962698f2fea022"/>
    <x v="14"/>
    <n v="16"/>
    <n v="16"/>
    <n v="8174.8"/>
    <n v="4.38"/>
    <n v="93.8"/>
  </r>
  <r>
    <s v="34056b8b55c1775a22af2331670a799c"/>
    <x v="0"/>
    <n v="77"/>
    <n v="77"/>
    <n v="8150.21"/>
    <n v="4.04"/>
    <n v="88.3"/>
  </r>
  <r>
    <s v="e0a366315b1b726b6c7832d664c0f530"/>
    <x v="0"/>
    <n v="43"/>
    <n v="51"/>
    <n v="8145.17"/>
    <n v="4.33"/>
    <n v="98"/>
  </r>
  <r>
    <s v="cee48807215b30a12ca2ca10ffb5f250"/>
    <x v="0"/>
    <n v="39"/>
    <n v="40"/>
    <n v="8125.52"/>
    <n v="3.7"/>
    <n v="87.5"/>
  </r>
  <r>
    <s v="7bac63f6603d382cc8d0832eb6c100a8"/>
    <x v="0"/>
    <n v="19"/>
    <n v="19"/>
    <n v="8114.6"/>
    <n v="4"/>
    <n v="89.5"/>
  </r>
  <r>
    <s v="8476243f92442881ddd5b578975cf115"/>
    <x v="8"/>
    <n v="12"/>
    <n v="12"/>
    <n v="8113.03"/>
    <n v="4.08"/>
    <n v="91.7"/>
  </r>
  <r>
    <s v="8e6cc767478edae941d9bd9eb778d77a"/>
    <x v="3"/>
    <n v="100"/>
    <n v="108"/>
    <n v="8098.61"/>
    <n v="4.0199999999999996"/>
    <n v="94.4"/>
  </r>
  <r>
    <s v="b347677812ea483b0f528eaf8cbc09b7"/>
    <x v="4"/>
    <n v="21"/>
    <n v="21"/>
    <n v="8051.34"/>
    <n v="4.5199999999999996"/>
    <n v="100"/>
  </r>
  <r>
    <s v="4aba391bc3b88717ce08eb11e44937b2"/>
    <x v="1"/>
    <n v="27"/>
    <n v="28"/>
    <n v="8047.44"/>
    <n v="4"/>
    <n v="85.7"/>
  </r>
  <r>
    <s v="6a8b085f816a1f75f92dbac6eb545f8f"/>
    <x v="0"/>
    <n v="125"/>
    <n v="133"/>
    <n v="8038.22"/>
    <n v="4.18"/>
    <n v="92.5"/>
  </r>
  <r>
    <s v="1da366cade6d8276e7d8beea7af5d4bf"/>
    <x v="3"/>
    <n v="42"/>
    <n v="48"/>
    <n v="8036.6"/>
    <n v="3.98"/>
    <n v="93.8"/>
  </r>
  <r>
    <s v="d51e0a403fe2e689ece6c73359d96e12"/>
    <x v="0"/>
    <n v="18"/>
    <n v="25"/>
    <n v="8027.57"/>
    <n v="4.32"/>
    <n v="92"/>
  </r>
  <r>
    <s v="11305281b50fff20ae8bb473f8e11876"/>
    <x v="3"/>
    <n v="35"/>
    <n v="40"/>
    <n v="7973.21"/>
    <n v="4.3499999999999996"/>
    <n v="87.5"/>
  </r>
  <r>
    <s v="6a51fc556dab5f766ced6fbc860bc613"/>
    <x v="0"/>
    <n v="24"/>
    <n v="31"/>
    <n v="7965.01"/>
    <n v="4.13"/>
    <n v="93.5"/>
  </r>
  <r>
    <s v="6fa9202c10491e472dffd59a3e82b2a3"/>
    <x v="0"/>
    <n v="3"/>
    <n v="3"/>
    <n v="7939.25"/>
    <n v="4.33"/>
    <n v="100"/>
  </r>
  <r>
    <s v="670c26e0f1bf8d0576271d5cfaec6d2b"/>
    <x v="4"/>
    <n v="77"/>
    <n v="86"/>
    <n v="7930.47"/>
    <n v="4.3499999999999996"/>
    <n v="95.3"/>
  </r>
  <r>
    <s v="e2aee0892199b1d92530e371abd825bf"/>
    <x v="4"/>
    <n v="36"/>
    <n v="39"/>
    <n v="7908.88"/>
    <n v="3.9"/>
    <n v="87.2"/>
  </r>
  <r>
    <s v="d13e50eaa47b4cbe9eb81465865d8cfc"/>
    <x v="0"/>
    <n v="66"/>
    <n v="68"/>
    <n v="7907.55"/>
    <n v="4.8099999999999996"/>
    <n v="91.2"/>
  </r>
  <r>
    <s v="516e7738bd8f735ac19a010ee5450d8d"/>
    <x v="2"/>
    <n v="74"/>
    <n v="82"/>
    <n v="7905.69"/>
    <n v="4.6100000000000003"/>
    <n v="97.6"/>
  </r>
  <r>
    <s v="58f1a6197ed863543e0136bdedb3fce2"/>
    <x v="3"/>
    <n v="44"/>
    <n v="45"/>
    <n v="7903.69"/>
    <n v="4.16"/>
    <n v="93.3"/>
  </r>
  <r>
    <s v="dee656f0f566ed1aa85bd137c943f08f"/>
    <x v="0"/>
    <n v="92"/>
    <n v="94"/>
    <n v="7883.07"/>
    <n v="4.38"/>
    <n v="95.7"/>
  </r>
  <r>
    <s v="f1fd5ab1181f827ffad998c1a5de7d74"/>
    <x v="4"/>
    <n v="15"/>
    <n v="15"/>
    <n v="7877.96"/>
    <n v="4.67"/>
    <n v="100"/>
  </r>
  <r>
    <s v="fa1a9dec3a9940c072684a46728bf1fc"/>
    <x v="6"/>
    <n v="55"/>
    <n v="60"/>
    <n v="7875.71"/>
    <n v="3.98"/>
    <n v="100"/>
  </r>
  <r>
    <s v="6b243f80ed07b10f0e8aa0f21a205f3c"/>
    <x v="4"/>
    <n v="79"/>
    <n v="89"/>
    <n v="7807.4"/>
    <n v="4.0199999999999996"/>
    <n v="96.6"/>
  </r>
  <r>
    <s v="f25e239052084705e17a982bc600ab2a"/>
    <x v="0"/>
    <n v="8"/>
    <n v="8"/>
    <n v="7785.48"/>
    <n v="4.25"/>
    <n v="100"/>
  </r>
  <r>
    <s v="f84a00e60c73a49e7e851c9bdca3a5bb"/>
    <x v="2"/>
    <n v="88"/>
    <n v="97"/>
    <n v="7780.34"/>
    <n v="3.72"/>
    <n v="90.7"/>
  </r>
  <r>
    <s v="080102cd0a76b09e0dcf55fcacc60e05"/>
    <x v="3"/>
    <n v="122"/>
    <n v="128"/>
    <n v="7773.48"/>
    <n v="4.53"/>
    <n v="96.1"/>
  </r>
  <r>
    <s v="d624126b9206f595fb3fbb6ba03b28a8"/>
    <x v="4"/>
    <n v="23"/>
    <n v="28"/>
    <n v="7768.5"/>
    <n v="4.33"/>
    <n v="96.4"/>
  </r>
  <r>
    <s v="8c16d1f32a54d92897cc437244442e1b"/>
    <x v="6"/>
    <n v="108"/>
    <n v="118"/>
    <n v="7754.67"/>
    <n v="4.33"/>
    <n v="98.3"/>
  </r>
  <r>
    <s v="688756f717c462a206ad854c5027a64a"/>
    <x v="0"/>
    <n v="81"/>
    <n v="99"/>
    <n v="7745.72"/>
    <n v="3.79"/>
    <n v="96"/>
  </r>
  <r>
    <s v="512d298ac2a96d1931b6bd30aa21f61d"/>
    <x v="2"/>
    <n v="11"/>
    <n v="12"/>
    <n v="7723.87"/>
    <n v="4.25"/>
    <n v="100"/>
  </r>
  <r>
    <s v="dd55f1bb788714a40e7954c3be6df745"/>
    <x v="0"/>
    <n v="35"/>
    <n v="37"/>
    <n v="7701.18"/>
    <n v="3.81"/>
    <n v="83.8"/>
  </r>
  <r>
    <s v="b14db04aa7881970e83ffa9426897925"/>
    <x v="0"/>
    <n v="78"/>
    <n v="105"/>
    <n v="7700.4"/>
    <n v="3.8"/>
    <n v="91.4"/>
  </r>
  <r>
    <s v="376a891762bbdecbc02b4b6adec3fdda"/>
    <x v="12"/>
    <n v="57"/>
    <n v="58"/>
    <n v="7693.63"/>
    <n v="4.67"/>
    <n v="96.6"/>
  </r>
  <r>
    <s v="014c0679dd340a0e338872e7ec85666a"/>
    <x v="3"/>
    <n v="14"/>
    <n v="15"/>
    <n v="7686.31"/>
    <n v="3.67"/>
    <n v="86.7"/>
  </r>
  <r>
    <s v="d9bd94811c3338dceb4181f3dbc0c73e"/>
    <x v="0"/>
    <n v="54"/>
    <n v="61"/>
    <n v="7682.11"/>
    <n v="4.82"/>
    <n v="95.1"/>
  </r>
  <r>
    <s v="ff1fb4c404b2efe68b03350a8dc24122"/>
    <x v="0"/>
    <n v="46"/>
    <n v="49"/>
    <n v="7666.95"/>
    <n v="4.0599999999999996"/>
    <n v="87.8"/>
  </r>
  <r>
    <s v="54219883e72aad869adfb2a54b7bfa0f"/>
    <x v="0"/>
    <n v="5"/>
    <n v="5"/>
    <n v="7579.55"/>
    <n v="3.2"/>
    <n v="100"/>
  </r>
  <r>
    <s v="31ae0774c17fabd06ff707cc5bde005f"/>
    <x v="0"/>
    <n v="11"/>
    <n v="11"/>
    <n v="7570.67"/>
    <n v="4"/>
    <n v="90.9"/>
  </r>
  <r>
    <s v="57e632711dec9ec14ca7546769483e7e"/>
    <x v="6"/>
    <n v="62"/>
    <n v="65"/>
    <n v="7558.04"/>
    <n v="4.45"/>
    <n v="100"/>
  </r>
  <r>
    <s v="30829ded4523ab9224b93bc49a62c95f"/>
    <x v="8"/>
    <n v="18"/>
    <n v="31"/>
    <n v="7549.71"/>
    <n v="3.58"/>
    <n v="96.8"/>
  </r>
  <r>
    <s v="751bdc4d83a466c7206cd42e8f426b03"/>
    <x v="0"/>
    <n v="51"/>
    <n v="68"/>
    <n v="7540.98"/>
    <n v="3.71"/>
    <n v="98.5"/>
  </r>
  <r>
    <s v="83e197e95a1bbabc8c75e883ed016c47"/>
    <x v="2"/>
    <n v="46"/>
    <n v="54"/>
    <n v="7535.52"/>
    <n v="4.74"/>
    <n v="98.1"/>
  </r>
  <r>
    <s v="63b464dbf392c7b80d12d932fa7cafed"/>
    <x v="0"/>
    <n v="36"/>
    <n v="38"/>
    <n v="7482.84"/>
    <n v="3.76"/>
    <n v="94.7"/>
  </r>
  <r>
    <s v="3340ef1913fb70d28420f6ceb685c339"/>
    <x v="4"/>
    <n v="32"/>
    <n v="42"/>
    <n v="7481.55"/>
    <n v="4.33"/>
    <n v="97.6"/>
  </r>
  <r>
    <s v="ade45994b717ccee333492330fbf037b"/>
    <x v="4"/>
    <n v="10"/>
    <n v="10"/>
    <n v="7479.63"/>
    <n v="4.5"/>
    <n v="100"/>
  </r>
  <r>
    <s v="679769a98cfcc6da877c8486ff1c13f3"/>
    <x v="3"/>
    <n v="21"/>
    <n v="21"/>
    <n v="7467.39"/>
    <n v="4.57"/>
    <n v="100"/>
  </r>
  <r>
    <s v="7dc8c42cc750eeafea6c85712ffee9bf"/>
    <x v="0"/>
    <n v="41"/>
    <n v="50"/>
    <n v="7445.09"/>
    <n v="4.26"/>
    <n v="96"/>
  </r>
  <r>
    <s v="05d2173d43ea568aa0540eba70d2ca76"/>
    <x v="3"/>
    <n v="62"/>
    <n v="66"/>
    <n v="7438.93"/>
    <n v="4"/>
    <n v="95.5"/>
  </r>
  <r>
    <s v="5b67882648febfb6e1225e6ad7164f6b"/>
    <x v="4"/>
    <n v="27"/>
    <n v="30"/>
    <n v="7432.42"/>
    <n v="4.03"/>
    <n v="96.7"/>
  </r>
  <r>
    <s v="0873d9f8f36123f8d910f4760e788cfb"/>
    <x v="0"/>
    <n v="6"/>
    <n v="6"/>
    <n v="7426.65"/>
    <n v="3.17"/>
    <n v="66.7"/>
  </r>
  <r>
    <s v="9616352088dcf83a7c06637f4ebf1c80"/>
    <x v="4"/>
    <n v="91"/>
    <n v="97"/>
    <n v="7409.8"/>
    <n v="4.28"/>
    <n v="100"/>
  </r>
  <r>
    <s v="2a261b5b644fa05f4f2700eb93544f2c"/>
    <x v="0"/>
    <n v="51"/>
    <n v="82"/>
    <n v="7396.73"/>
    <n v="3.35"/>
    <n v="80.5"/>
  </r>
  <r>
    <s v="961dff0a659b4561334372337dd897d9"/>
    <x v="2"/>
    <n v="3"/>
    <n v="3"/>
    <n v="7389.74"/>
    <n v="4.67"/>
    <n v="100"/>
  </r>
  <r>
    <s v="f46490624488d3ff7ce78613913a7711"/>
    <x v="0"/>
    <n v="80"/>
    <n v="87"/>
    <n v="7384.36"/>
    <n v="3.57"/>
    <n v="89.7"/>
  </r>
  <r>
    <s v="0691148aee60ca47977c187804f935ae"/>
    <x v="4"/>
    <n v="47"/>
    <n v="53"/>
    <n v="7359.45"/>
    <n v="3.99"/>
    <n v="96.2"/>
  </r>
  <r>
    <s v="b8630e1121437d41cb08e3c749c2c2e2"/>
    <x v="2"/>
    <n v="12"/>
    <n v="12"/>
    <n v="7334.1"/>
    <n v="4.33"/>
    <n v="91.7"/>
  </r>
  <r>
    <s v="b3b17aab11f273023a5f22ca52e1eb70"/>
    <x v="4"/>
    <n v="7"/>
    <n v="13"/>
    <n v="7325.35"/>
    <n v="4.8499999999999996"/>
    <n v="84.6"/>
  </r>
  <r>
    <s v="40d54b51e962dbe09cabbcfd33298dee"/>
    <x v="0"/>
    <n v="30"/>
    <n v="31"/>
    <n v="7323.25"/>
    <n v="3.9"/>
    <n v="100"/>
  </r>
  <r>
    <s v="54065e9aef7e9e9c2dc23b7594db021a"/>
    <x v="2"/>
    <n v="12"/>
    <n v="12"/>
    <n v="7321.78"/>
    <n v="4.33"/>
    <n v="100"/>
  </r>
  <r>
    <s v="ba143b05f0110f0dc71ad71b4466ce92"/>
    <x v="0"/>
    <n v="83"/>
    <n v="84"/>
    <n v="7309.37"/>
    <n v="4.46"/>
    <n v="88.1"/>
  </r>
  <r>
    <s v="4c03b9dd4c11ee2cb35c96c49efc9420"/>
    <x v="0"/>
    <n v="48"/>
    <n v="48"/>
    <n v="7302.33"/>
    <n v="4.1100000000000003"/>
    <n v="97.9"/>
  </r>
  <r>
    <s v="87e24fc7052259b1f7f607d61c10d8be"/>
    <x v="0"/>
    <n v="7"/>
    <n v="7"/>
    <n v="7288.25"/>
    <n v="3.86"/>
    <n v="85.7"/>
  </r>
  <r>
    <s v="bd4889b5e9133b35b66e42a8665cea5c"/>
    <x v="0"/>
    <n v="36"/>
    <n v="42"/>
    <n v="7256.54"/>
    <n v="4.46"/>
    <n v="100"/>
  </r>
  <r>
    <s v="e5e33c0d8e7e002f398f5dc4cbbb338f"/>
    <x v="0"/>
    <n v="26"/>
    <n v="27"/>
    <n v="7240.85"/>
    <n v="4.59"/>
    <n v="92.6"/>
  </r>
  <r>
    <s v="5670f4db5b62c43d542e1b2d56b0cf7c"/>
    <x v="0"/>
    <n v="22"/>
    <n v="22"/>
    <n v="7212.65"/>
    <n v="4.41"/>
    <n v="95.5"/>
  </r>
  <r>
    <s v="02f623a8eb246f3c5f7c2f96462654e6"/>
    <x v="0"/>
    <n v="44"/>
    <n v="44"/>
    <n v="7207.63"/>
    <n v="4.5599999999999996"/>
    <n v="93.2"/>
  </r>
  <r>
    <s v="455c5640e8c5bd1b2ee85c0158f85727"/>
    <x v="6"/>
    <n v="8"/>
    <n v="8"/>
    <n v="7186.89"/>
    <n v="4.5"/>
    <n v="100"/>
  </r>
  <r>
    <s v="ea67327e24487bdfac5fbfa37ea124df"/>
    <x v="0"/>
    <n v="32"/>
    <n v="34"/>
    <n v="7180.28"/>
    <n v="3.56"/>
    <n v="97.1"/>
  </r>
  <r>
    <s v="33dd941c27854f7625b968cc6195a552"/>
    <x v="9"/>
    <n v="5"/>
    <n v="5"/>
    <n v="7168.41"/>
    <n v="4.4000000000000004"/>
    <n v="100"/>
  </r>
  <r>
    <s v="989becdce12ebc39863c2bceab6f3ca1"/>
    <x v="4"/>
    <n v="15"/>
    <n v="15"/>
    <n v="7117.42"/>
    <n v="4.8"/>
    <n v="93.3"/>
  </r>
  <r>
    <s v="4b5f66b7adcf57f1ecc0d3c07dd6b177"/>
    <x v="4"/>
    <n v="23"/>
    <n v="38"/>
    <n v="7115.96"/>
    <n v="4.08"/>
    <n v="97.4"/>
  </r>
  <r>
    <s v="537eb890efff034a88679788b647c564"/>
    <x v="2"/>
    <n v="158"/>
    <n v="171"/>
    <n v="7093.44"/>
    <n v="4.18"/>
    <n v="96.5"/>
  </r>
  <r>
    <s v="3be634553519fb6536a03e1358e9fdc7"/>
    <x v="0"/>
    <n v="80"/>
    <n v="95"/>
    <n v="7034.75"/>
    <n v="4.01"/>
    <n v="93.7"/>
  </r>
  <r>
    <s v="33c51922b6e3c16b24a8f28e5833c99d"/>
    <x v="4"/>
    <n v="18"/>
    <n v="20"/>
    <n v="7025.88"/>
    <n v="4.28"/>
    <n v="95"/>
  </r>
  <r>
    <s v="e3b4998c7a498169dc7bce44e6bb6277"/>
    <x v="0"/>
    <n v="1"/>
    <n v="1"/>
    <n v="6929.31"/>
    <n v="5"/>
    <n v="100"/>
  </r>
  <r>
    <s v="80ceebb4ee9b31afb6c6a916a574a1e2"/>
    <x v="4"/>
    <n v="1"/>
    <n v="1"/>
    <n v="6922.21"/>
    <s v="NULL"/>
    <n v="0"/>
  </r>
  <r>
    <s v="e9d99831abad74458942f21e16f33f92"/>
    <x v="0"/>
    <n v="130"/>
    <n v="149"/>
    <n v="6916.06"/>
    <n v="3.91"/>
    <n v="90.6"/>
  </r>
  <r>
    <s v="e8b4225284fbb02d16f200513f1f395d"/>
    <x v="0"/>
    <n v="30"/>
    <n v="30"/>
    <n v="6912.6"/>
    <n v="4.3"/>
    <n v="90"/>
  </r>
  <r>
    <s v="6f892e20a171e98efe17fdb971ff319b"/>
    <x v="0"/>
    <n v="41"/>
    <n v="50"/>
    <n v="6906.49"/>
    <n v="3.9"/>
    <n v="92"/>
  </r>
  <r>
    <s v="50c9975695009e5e6473912e83a6d1da"/>
    <x v="3"/>
    <n v="50"/>
    <n v="68"/>
    <n v="6883.95"/>
    <n v="3.99"/>
    <n v="89.7"/>
  </r>
  <r>
    <s v="b2479f944e1b90cf8a5de1bbfde284d6"/>
    <x v="0"/>
    <n v="101"/>
    <n v="129"/>
    <n v="6874.23"/>
    <n v="3.35"/>
    <n v="88.4"/>
  </r>
  <r>
    <s v="0bf0150d5b9d60d9cd2906003332f085"/>
    <x v="0"/>
    <n v="39"/>
    <n v="62"/>
    <n v="6872.34"/>
    <n v="3.71"/>
    <n v="85.5"/>
  </r>
  <r>
    <s v="91f848e9f4be368f4318775aac733370"/>
    <x v="0"/>
    <n v="60"/>
    <n v="70"/>
    <n v="6862.49"/>
    <n v="4.37"/>
    <n v="98.6"/>
  </r>
  <r>
    <s v="bacb1f0ed56ad24198f5810d2b3fe9a5"/>
    <x v="0"/>
    <n v="38"/>
    <n v="38"/>
    <n v="6847.7"/>
    <n v="4.32"/>
    <n v="97.4"/>
  </r>
  <r>
    <s v="dfc5fb7259bb2b599ca565e6e9448f0f"/>
    <x v="0"/>
    <n v="33"/>
    <n v="34"/>
    <n v="6845.98"/>
    <n v="4.12"/>
    <n v="94.1"/>
  </r>
  <r>
    <s v="abe021b01ba992245271b9aa422032df"/>
    <x v="4"/>
    <n v="2"/>
    <n v="2"/>
    <n v="6837.24"/>
    <n v="3.5"/>
    <n v="100"/>
  </r>
  <r>
    <s v="b6d44737c043328708f6749c2dbe50bd"/>
    <x v="0"/>
    <n v="61"/>
    <n v="79"/>
    <n v="6834.01"/>
    <n v="4.57"/>
    <n v="94.9"/>
  </r>
  <r>
    <s v="3ade81dab5a172b88e1871c28ae05260"/>
    <x v="0"/>
    <n v="28"/>
    <n v="30"/>
    <n v="6821.59"/>
    <n v="4.24"/>
    <n v="90"/>
  </r>
  <r>
    <s v="eb3071b9f0b0ddaa2df5ea130f09f26b"/>
    <x v="0"/>
    <n v="9"/>
    <n v="11"/>
    <n v="6811.42"/>
    <n v="4.6399999999999997"/>
    <n v="90.9"/>
  </r>
  <r>
    <s v="3df020b72d3d44b3af9d110fa3940b65"/>
    <x v="0"/>
    <n v="55"/>
    <n v="101"/>
    <n v="6749.47"/>
    <n v="3.95"/>
    <n v="90.1"/>
  </r>
  <r>
    <s v="f12ff17ad8bbf01ec5c33b17e506649b"/>
    <x v="0"/>
    <n v="28"/>
    <n v="28"/>
    <n v="6728.88"/>
    <n v="3.86"/>
    <n v="89.3"/>
  </r>
  <r>
    <s v="ee27a8f15b1dded4d213a468ba4eb391"/>
    <x v="12"/>
    <n v="1"/>
    <n v="1"/>
    <n v="6726.66"/>
    <n v="5"/>
    <n v="100"/>
  </r>
  <r>
    <s v="bba74270a87732727b5a3b4fd9ac1c39"/>
    <x v="3"/>
    <n v="35"/>
    <n v="40"/>
    <n v="6708.34"/>
    <n v="3.88"/>
    <n v="100"/>
  </r>
  <r>
    <s v="f181738b150df1f37cb0bd72e705b193"/>
    <x v="0"/>
    <n v="36"/>
    <n v="37"/>
    <n v="6632.75"/>
    <n v="4.49"/>
    <n v="91.9"/>
  </r>
  <r>
    <s v="26d8a1c7c75d513045798992ead43aa2"/>
    <x v="4"/>
    <n v="34"/>
    <n v="36"/>
    <n v="6590.46"/>
    <n v="4.33"/>
    <n v="91.7"/>
  </r>
  <r>
    <s v="dfa0c4c6229ab200a4a1336b4d7128ff"/>
    <x v="6"/>
    <n v="77"/>
    <n v="86"/>
    <n v="6544.21"/>
    <n v="4.01"/>
    <n v="98.8"/>
  </r>
  <r>
    <s v="ff4ea69c2a729e83e63c7579e4ef8170"/>
    <x v="0"/>
    <n v="8"/>
    <n v="8"/>
    <n v="6527.82"/>
    <n v="5"/>
    <n v="100"/>
  </r>
  <r>
    <s v="9baf5cb77970f539089d09a38bcec5c3"/>
    <x v="0"/>
    <n v="31"/>
    <n v="32"/>
    <n v="6521.34"/>
    <n v="4.4400000000000004"/>
    <n v="100"/>
  </r>
  <r>
    <s v="2528744c5ef5d955adc318720a94d2e7"/>
    <x v="0"/>
    <n v="5"/>
    <n v="5"/>
    <n v="6508.7"/>
    <n v="2.4"/>
    <n v="100"/>
  </r>
  <r>
    <s v="98dac6635aee4995d501a3972e047414"/>
    <x v="0"/>
    <n v="89"/>
    <n v="190"/>
    <n v="6495.35"/>
    <n v="3.89"/>
    <n v="97.4"/>
  </r>
  <r>
    <s v="dbd66278cbfe1aa1000f90a217ca4695"/>
    <x v="0"/>
    <n v="85"/>
    <n v="99"/>
    <n v="6472.77"/>
    <n v="4.45"/>
    <n v="96"/>
  </r>
  <r>
    <s v="0d85bbda9889ce1f7e63778d24f346eb"/>
    <x v="3"/>
    <n v="51"/>
    <n v="58"/>
    <n v="6469.7"/>
    <n v="4.21"/>
    <n v="81"/>
  </r>
  <r>
    <s v="d6b664fa0667064c6d76394e7848d790"/>
    <x v="0"/>
    <n v="6"/>
    <n v="6"/>
    <n v="6404.34"/>
    <n v="4.83"/>
    <n v="100"/>
  </r>
  <r>
    <s v="02d35243ea2e497335cd0f076b45675d"/>
    <x v="15"/>
    <n v="14"/>
    <n v="16"/>
    <n v="6399.95"/>
    <n v="2.69"/>
    <n v="75"/>
  </r>
  <r>
    <s v="52ac6f920b7280e4c6d30dd94de6259b"/>
    <x v="4"/>
    <n v="6"/>
    <n v="7"/>
    <n v="6383.89"/>
    <n v="3.29"/>
    <n v="100"/>
  </r>
  <r>
    <s v="709e16e2b25c7474d980076c6bfc4806"/>
    <x v="0"/>
    <n v="60"/>
    <n v="80"/>
    <n v="6378.86"/>
    <n v="4.53"/>
    <n v="97.5"/>
  </r>
  <r>
    <s v="e62b2d6ac10570a035a30bafcf01d263"/>
    <x v="0"/>
    <n v="62"/>
    <n v="71"/>
    <n v="6375.47"/>
    <n v="3.83"/>
    <n v="85.9"/>
  </r>
  <r>
    <s v="1336efc61c316ddf92c899eb817f7cae"/>
    <x v="0"/>
    <n v="74"/>
    <n v="85"/>
    <n v="6355.29"/>
    <n v="3.94"/>
    <n v="91.8"/>
  </r>
  <r>
    <s v="2fdde51ad3e12f297da656d4fbd5d0b5"/>
    <x v="6"/>
    <n v="9"/>
    <n v="9"/>
    <n v="6354.92"/>
    <n v="4.78"/>
    <n v="100"/>
  </r>
  <r>
    <s v="04aa0a1c5ce6b222003403a3e11c3cc0"/>
    <x v="0"/>
    <n v="11"/>
    <n v="17"/>
    <n v="6339.51"/>
    <n v="3.53"/>
    <n v="88.2"/>
  </r>
  <r>
    <s v="f4c4daa86e30c7e5a553a8d518ac03a5"/>
    <x v="4"/>
    <n v="18"/>
    <n v="18"/>
    <n v="6324.5"/>
    <n v="4"/>
    <n v="94.4"/>
  </r>
  <r>
    <s v="67bf6941ba2f1fa1d02c375766bc3e53"/>
    <x v="4"/>
    <n v="15"/>
    <n v="20"/>
    <n v="6319.94"/>
    <n v="4.3"/>
    <n v="95"/>
  </r>
  <r>
    <s v="94e93ce877be27a515118dbfd2c2be41"/>
    <x v="0"/>
    <n v="29"/>
    <n v="34"/>
    <n v="6290.04"/>
    <n v="4.03"/>
    <n v="100"/>
  </r>
  <r>
    <s v="7d76b645482be4a332374e8223836592"/>
    <x v="0"/>
    <n v="172"/>
    <n v="183"/>
    <n v="6287.77"/>
    <n v="3.97"/>
    <n v="91.3"/>
  </r>
  <r>
    <s v="83deb69e889cf80f82be1dc6d5f2d486"/>
    <x v="6"/>
    <n v="40"/>
    <n v="42"/>
    <n v="6276.65"/>
    <n v="4.3600000000000003"/>
    <n v="95.2"/>
  </r>
  <r>
    <s v="fc906263ca5083d09dce42fe02247800"/>
    <x v="3"/>
    <n v="112"/>
    <n v="117"/>
    <n v="6273.28"/>
    <n v="4.3899999999999997"/>
    <n v="100"/>
  </r>
  <r>
    <s v="23613d49c3ac2bd302259e55c06c050c"/>
    <x v="0"/>
    <n v="69"/>
    <n v="79"/>
    <n v="6227.14"/>
    <n v="3.69"/>
    <n v="91.1"/>
  </r>
  <r>
    <s v="23c38debaffe4a25a30fdbd9b586a13f"/>
    <x v="0"/>
    <n v="41"/>
    <n v="46"/>
    <n v="6216.56"/>
    <n v="4.3"/>
    <n v="89.1"/>
  </r>
  <r>
    <s v="f84fa566034f5e8e880a07ec624c56af"/>
    <x v="0"/>
    <n v="89"/>
    <n v="100"/>
    <n v="6204.33"/>
    <n v="4.3"/>
    <n v="91"/>
  </r>
  <r>
    <s v="4917cee8d902e13428c3ec4b1ca6f315"/>
    <x v="6"/>
    <n v="31"/>
    <n v="31"/>
    <n v="6178.34"/>
    <n v="4.16"/>
    <n v="96.8"/>
  </r>
  <r>
    <s v="575df70bde3f9f2b30bf8d2e9910d725"/>
    <x v="0"/>
    <n v="27"/>
    <n v="34"/>
    <n v="6163.42"/>
    <n v="4.12"/>
    <n v="97.1"/>
  </r>
  <r>
    <s v="afe0067131b73e40875c9b6c10bd2e21"/>
    <x v="3"/>
    <n v="45"/>
    <n v="45"/>
    <n v="6151.59"/>
    <n v="4.2699999999999996"/>
    <n v="95.6"/>
  </r>
  <r>
    <s v="9674754b5a0cb32b638cec001178f799"/>
    <x v="0"/>
    <n v="84"/>
    <n v="95"/>
    <n v="6137.88"/>
    <n v="4.05"/>
    <n v="97.9"/>
  </r>
  <r>
    <s v="d566c37fa119d5e66c4e9052e83ee4ea"/>
    <x v="0"/>
    <n v="65"/>
    <n v="73"/>
    <n v="6124.92"/>
    <n v="4.72"/>
    <n v="100"/>
  </r>
  <r>
    <s v="abcd2cb37d46c2c8fb1bf071c859fc5b"/>
    <x v="13"/>
    <n v="44"/>
    <n v="51"/>
    <n v="6121.84"/>
    <n v="4.3099999999999996"/>
    <n v="96.1"/>
  </r>
  <r>
    <s v="b39d7fe263ef469605dbb32608aee0af"/>
    <x v="0"/>
    <n v="43"/>
    <n v="48"/>
    <n v="6100.23"/>
    <n v="3.79"/>
    <n v="95.8"/>
  </r>
  <r>
    <s v="f680f85bee2d253556ac91be391d2c82"/>
    <x v="0"/>
    <n v="45"/>
    <n v="54"/>
    <n v="6077.34"/>
    <n v="4.3"/>
    <n v="98.1"/>
  </r>
  <r>
    <s v="7e3f87d16fb353f408d467e74fbd8014"/>
    <x v="0"/>
    <n v="91"/>
    <n v="93"/>
    <n v="6068.37"/>
    <n v="4.16"/>
    <n v="93.5"/>
  </r>
  <r>
    <s v="cc3d14116804f7209f3884f6367f1152"/>
    <x v="4"/>
    <n v="27"/>
    <n v="30"/>
    <n v="6060.59"/>
    <n v="4.67"/>
    <n v="100"/>
  </r>
  <r>
    <s v="8bb48dc19fccaa8613b6229bf7f452a2"/>
    <x v="0"/>
    <n v="82"/>
    <n v="95"/>
    <n v="6048.12"/>
    <n v="4.34"/>
    <n v="97.9"/>
  </r>
  <r>
    <s v="e067ad2c1c0b48758eb1b5228bcf7a68"/>
    <x v="0"/>
    <n v="54"/>
    <n v="61"/>
    <n v="6047.91"/>
    <n v="4.13"/>
    <n v="93.4"/>
  </r>
  <r>
    <s v="817245bcc3badd82bbd222e0366951a6"/>
    <x v="0"/>
    <n v="28"/>
    <n v="44"/>
    <n v="6044.83"/>
    <n v="4.1500000000000004"/>
    <n v="97.7"/>
  </r>
  <r>
    <s v="f67efa3f0b6761102a7f8c6b7b571f5d"/>
    <x v="4"/>
    <n v="31"/>
    <n v="32"/>
    <n v="6030.17"/>
    <n v="4.4400000000000004"/>
    <n v="100"/>
  </r>
  <r>
    <s v="1bb2bdb95f4841f1bba2c0d2cd83d3c9"/>
    <x v="0"/>
    <n v="79"/>
    <n v="83"/>
    <n v="6023.93"/>
    <n v="4.57"/>
    <n v="94"/>
  </r>
  <r>
    <s v="45ba18c210d42734ec52c0c1c574e9ee"/>
    <x v="0"/>
    <n v="35"/>
    <n v="38"/>
    <n v="6023.77"/>
    <n v="4.05"/>
    <n v="94.7"/>
  </r>
  <r>
    <s v="06579cb253ecd5a3a12a9e6eb6bf8f47"/>
    <x v="0"/>
    <n v="61"/>
    <n v="70"/>
    <n v="6007.97"/>
    <n v="3.84"/>
    <n v="90"/>
  </r>
  <r>
    <s v="a63bfbaa882c8f4542891b4e2246cc7f"/>
    <x v="2"/>
    <n v="6"/>
    <n v="6"/>
    <n v="5925.99"/>
    <n v="5"/>
    <n v="100"/>
  </r>
  <r>
    <s v="acce39e832338debb07b02385cde5967"/>
    <x v="3"/>
    <n v="44"/>
    <n v="44"/>
    <n v="5923.66"/>
    <n v="4.4800000000000004"/>
    <n v="100"/>
  </r>
  <r>
    <s v="835f0f7810c76831d6c7d24c7a646d4d"/>
    <x v="0"/>
    <n v="42"/>
    <n v="48"/>
    <n v="5922.25"/>
    <n v="3.31"/>
    <n v="72.900000000000006"/>
  </r>
  <r>
    <s v="0176f73cc1195f367f7b32db1e5b3aa8"/>
    <x v="0"/>
    <n v="37"/>
    <n v="38"/>
    <n v="5915.27"/>
    <n v="4.05"/>
    <n v="89.5"/>
  </r>
  <r>
    <s v="e06f09ec0a4aca210779cf1cfc63cf19"/>
    <x v="0"/>
    <n v="29"/>
    <n v="31"/>
    <n v="5901.41"/>
    <n v="4.0199999999999996"/>
    <n v="93.5"/>
  </r>
  <r>
    <s v="5b179e9e8cc7ab6fd113a46ca584da81"/>
    <x v="0"/>
    <n v="34"/>
    <n v="36"/>
    <n v="5839.14"/>
    <n v="3.51"/>
    <n v="94.4"/>
  </r>
  <r>
    <s v="0cbcee27c791afa0cdcb08587a2013a8"/>
    <x v="3"/>
    <n v="37"/>
    <n v="39"/>
    <n v="5837.68"/>
    <n v="4"/>
    <n v="89.7"/>
  </r>
  <r>
    <s v="8b9d6eec4a7eb7d0f9d579ce0b38324d"/>
    <x v="2"/>
    <n v="48"/>
    <n v="52"/>
    <n v="5826.85"/>
    <n v="4.12"/>
    <n v="86.5"/>
  </r>
  <r>
    <s v="30a2f535bb48308f991d0b9ad4a8c4bb"/>
    <x v="0"/>
    <n v="71"/>
    <n v="87"/>
    <n v="5815.36"/>
    <n v="4.25"/>
    <n v="96.6"/>
  </r>
  <r>
    <s v="916c9de0b5ad957346eeeb12f332687e"/>
    <x v="4"/>
    <n v="22"/>
    <n v="27"/>
    <n v="5814.27"/>
    <n v="4.37"/>
    <n v="100"/>
  </r>
  <r>
    <s v="b561927807645834b59ef0d16ba55a24"/>
    <x v="0"/>
    <n v="85"/>
    <n v="95"/>
    <n v="5807.03"/>
    <n v="4.34"/>
    <n v="85.3"/>
  </r>
  <r>
    <s v="3c7c4a49ec3c6550809089c6a2ca9370"/>
    <x v="0"/>
    <n v="139"/>
    <n v="158"/>
    <n v="5799.21"/>
    <n v="3.73"/>
    <n v="94.3"/>
  </r>
  <r>
    <s v="3ab971ce71839580d2ae5b4e40fe8044"/>
    <x v="0"/>
    <n v="35"/>
    <n v="37"/>
    <n v="5797.25"/>
    <n v="3.89"/>
    <n v="94.6"/>
  </r>
  <r>
    <s v="cfa5ab0e4d3fc212fd0b3410e7081c62"/>
    <x v="3"/>
    <n v="15"/>
    <n v="20"/>
    <n v="5796.29"/>
    <n v="3.65"/>
    <n v="100"/>
  </r>
  <r>
    <s v="55d3daac7c404d59e51c2aa2f4dc5a23"/>
    <x v="0"/>
    <n v="21"/>
    <n v="28"/>
    <n v="5790.48"/>
    <n v="3.93"/>
    <n v="100"/>
  </r>
  <r>
    <s v="d63c73efd41eb002280e7ec831424edb"/>
    <x v="0"/>
    <n v="2"/>
    <n v="2"/>
    <n v="5766.59"/>
    <n v="4"/>
    <n v="100"/>
  </r>
  <r>
    <s v="c4af86330efa7a2620772227d2d670c9"/>
    <x v="0"/>
    <n v="4"/>
    <n v="4"/>
    <n v="5760.96"/>
    <n v="4.33"/>
    <n v="100"/>
  </r>
  <r>
    <s v="02ecc2a19303f05e59ce133fd923fff7"/>
    <x v="0"/>
    <n v="21"/>
    <n v="24"/>
    <n v="5742.4"/>
    <n v="4.54"/>
    <n v="100"/>
  </r>
  <r>
    <s v="bbad7e518d7af88a0897397ffdca1979"/>
    <x v="0"/>
    <n v="68"/>
    <n v="84"/>
    <n v="5741.24"/>
    <n v="3.05"/>
    <n v="77.400000000000006"/>
  </r>
  <r>
    <s v="f789d2c4f2c2eb38fc4373e7a4b35264"/>
    <x v="3"/>
    <n v="44"/>
    <n v="49"/>
    <n v="5733.24"/>
    <n v="4.18"/>
    <n v="95.9"/>
  </r>
  <r>
    <s v="099095b050cfe8eb1ddff5317587e96e"/>
    <x v="0"/>
    <n v="16"/>
    <n v="19"/>
    <n v="5705.93"/>
    <n v="3.05"/>
    <n v="84.2"/>
  </r>
  <r>
    <s v="1a932caad4f9d804097d7f8e615baed1"/>
    <x v="0"/>
    <n v="20"/>
    <n v="30"/>
    <n v="5701.45"/>
    <n v="3.57"/>
    <n v="90"/>
  </r>
  <r>
    <s v="2ff97219cb8622eaf3cd89b7d9c09824"/>
    <x v="0"/>
    <n v="87"/>
    <n v="94"/>
    <n v="5698.7"/>
    <n v="4.55"/>
    <n v="96.8"/>
  </r>
  <r>
    <s v="5bffbafbb22daf6d3bfc216a46db8708"/>
    <x v="2"/>
    <n v="21"/>
    <n v="23"/>
    <n v="5694.2"/>
    <n v="4.7"/>
    <n v="100"/>
  </r>
  <r>
    <s v="9add47bf45ce8e8c7db6b9cf670b1e09"/>
    <x v="4"/>
    <n v="41"/>
    <n v="43"/>
    <n v="5689.2"/>
    <n v="4.26"/>
    <n v="97.7"/>
  </r>
  <r>
    <s v="822bad9bc42b51213ba522fe87b7ab5d"/>
    <x v="6"/>
    <n v="18"/>
    <n v="18"/>
    <n v="5687.34"/>
    <n v="4.1100000000000003"/>
    <n v="72.2"/>
  </r>
  <r>
    <s v="582d4f8675b945722eda7c0cb61ba4c7"/>
    <x v="0"/>
    <n v="59"/>
    <n v="71"/>
    <n v="5683.93"/>
    <n v="4.1100000000000003"/>
    <n v="98.6"/>
  </r>
  <r>
    <s v="fcdd820084f17e9982427971e4e9d47f"/>
    <x v="0"/>
    <n v="16"/>
    <n v="27"/>
    <n v="5665.74"/>
    <n v="3.26"/>
    <n v="92.6"/>
  </r>
  <r>
    <s v="cac4c8e7b1ca6252d8f20b2fc1a2e4af"/>
    <x v="0"/>
    <n v="74"/>
    <n v="82"/>
    <n v="5658.7"/>
    <n v="3.56"/>
    <n v="81.7"/>
  </r>
  <r>
    <s v="3f0e48d209018b466fcd3bb4ccfeb520"/>
    <x v="4"/>
    <n v="9"/>
    <n v="10"/>
    <n v="5654.8"/>
    <n v="3.9"/>
    <n v="100"/>
  </r>
  <r>
    <s v="f7496d659ca9fdaf323c0aae84176632"/>
    <x v="0"/>
    <n v="25"/>
    <n v="26"/>
    <n v="5641.93"/>
    <n v="4.58"/>
    <n v="96.2"/>
  </r>
  <r>
    <s v="fad44952713764836814be105382aee5"/>
    <x v="2"/>
    <n v="32"/>
    <n v="32"/>
    <n v="5636.88"/>
    <n v="4.28"/>
    <n v="100"/>
  </r>
  <r>
    <s v="2a7dc43cecabf23403078e2188437d1d"/>
    <x v="0"/>
    <n v="52"/>
    <n v="54"/>
    <n v="5629.62"/>
    <n v="4.09"/>
    <n v="94.4"/>
  </r>
  <r>
    <s v="ad420dd0c4f92f8af951ac24b86d0cf5"/>
    <x v="3"/>
    <n v="42"/>
    <n v="46"/>
    <n v="5618.4"/>
    <n v="4.16"/>
    <n v="93.5"/>
  </r>
  <r>
    <s v="11bfa66332777660bd0640ee84d47006"/>
    <x v="0"/>
    <n v="76"/>
    <n v="102"/>
    <n v="5608.54"/>
    <n v="3.78"/>
    <n v="84.3"/>
  </r>
  <r>
    <s v="a3f0b55de503387383c7b1de3ad7f678"/>
    <x v="4"/>
    <n v="24"/>
    <n v="26"/>
    <n v="5577.74"/>
    <n v="4.38"/>
    <n v="96.2"/>
  </r>
  <r>
    <s v="cc5a78bbad32776dc4e3af205218368c"/>
    <x v="3"/>
    <n v="33"/>
    <n v="38"/>
    <n v="5573.35"/>
    <n v="4.47"/>
    <n v="97.4"/>
  </r>
  <r>
    <s v="ef990a83bbea832f36ebe81376335aa8"/>
    <x v="6"/>
    <n v="43"/>
    <n v="44"/>
    <n v="5557.24"/>
    <n v="3.66"/>
    <n v="79.5"/>
  </r>
  <r>
    <s v="e0878efa0e0b7e5313ac0b43bc04c081"/>
    <x v="4"/>
    <n v="26"/>
    <n v="28"/>
    <n v="5542.53"/>
    <n v="3.54"/>
    <n v="85.7"/>
  </r>
  <r>
    <s v="822166ed1e47908f7cfb49946d03c726"/>
    <x v="2"/>
    <n v="69"/>
    <n v="108"/>
    <n v="5535.95"/>
    <n v="3.92"/>
    <n v="99.1"/>
  </r>
  <r>
    <s v="a4b6b9b992b46e9ef863637af96e04bc"/>
    <x v="6"/>
    <n v="6"/>
    <n v="8"/>
    <n v="5502.84"/>
    <n v="3.75"/>
    <n v="87.5"/>
  </r>
  <r>
    <s v="4bf2f4ee540798a61f9636d12cd9cc80"/>
    <x v="0"/>
    <n v="29"/>
    <n v="30"/>
    <n v="5501.01"/>
    <n v="4.17"/>
    <n v="100"/>
  </r>
  <r>
    <s v="d379f449f2a3b271bc01c0782020f705"/>
    <x v="3"/>
    <n v="28"/>
    <n v="29"/>
    <n v="5499.8"/>
    <n v="3.93"/>
    <n v="96.6"/>
  </r>
  <r>
    <s v="d673a59aac7a70d8b01e6902bf090a11"/>
    <x v="0"/>
    <n v="79"/>
    <n v="84"/>
    <n v="5499.56"/>
    <n v="3.96"/>
    <n v="92.9"/>
  </r>
  <r>
    <s v="e9c6969d40e6a3d2d0f90013165c2b98"/>
    <x v="0"/>
    <n v="10"/>
    <n v="10"/>
    <n v="5481.98"/>
    <n v="4.4000000000000004"/>
    <n v="100"/>
  </r>
  <r>
    <s v="4d0041cdbe51b4617d95c70b19decc74"/>
    <x v="3"/>
    <n v="8"/>
    <n v="8"/>
    <n v="5465.49"/>
    <n v="4.5"/>
    <n v="100"/>
  </r>
  <r>
    <s v="0ef83d7d83ed97cd2a0049ac8be5f88a"/>
    <x v="4"/>
    <n v="48"/>
    <n v="55"/>
    <n v="5447.81"/>
    <n v="4.24"/>
    <n v="98.2"/>
  </r>
  <r>
    <s v="c68fb906c8f4b4b946d8386bfa6e5467"/>
    <x v="0"/>
    <n v="45"/>
    <n v="48"/>
    <n v="5433.61"/>
    <n v="4.51"/>
    <n v="97.9"/>
  </r>
  <r>
    <s v="d20b021d3efdf267a402c402a48ea64b"/>
    <x v="0"/>
    <n v="86"/>
    <n v="102"/>
    <n v="5427.26"/>
    <n v="3.69"/>
    <n v="83.3"/>
  </r>
  <r>
    <s v="c35affa65afd250151285c5917fc1c8a"/>
    <x v="0"/>
    <n v="8"/>
    <n v="8"/>
    <n v="5424.76"/>
    <n v="4.25"/>
    <n v="87.5"/>
  </r>
  <r>
    <s v="8bd0f31cf0a614c658f6763bd02dea69"/>
    <x v="0"/>
    <n v="33"/>
    <n v="35"/>
    <n v="5423.32"/>
    <n v="4.21"/>
    <n v="97.1"/>
  </r>
  <r>
    <s v="a3dd39f583bc80bd8c5901c95878921e"/>
    <x v="1"/>
    <n v="34"/>
    <n v="37"/>
    <n v="5412.16"/>
    <n v="4.59"/>
    <n v="97.3"/>
  </r>
  <r>
    <s v="42b729f859728f5079499127a9c2ef37"/>
    <x v="0"/>
    <n v="103"/>
    <n v="131"/>
    <n v="5396.92"/>
    <n v="4.3600000000000003"/>
    <n v="90.1"/>
  </r>
  <r>
    <s v="45213867cefbf2cd4c6177e10216a951"/>
    <x v="0"/>
    <n v="14"/>
    <n v="14"/>
    <n v="5389.16"/>
    <n v="3.86"/>
    <n v="92.9"/>
  </r>
  <r>
    <s v="45d33f715e24d15a6ccf5c17b3a23e3c"/>
    <x v="0"/>
    <n v="56"/>
    <n v="58"/>
    <n v="5383.47"/>
    <n v="4.17"/>
    <n v="94.8"/>
  </r>
  <r>
    <s v="db4350fd57ae30082dec7acbaacc17f9"/>
    <x v="0"/>
    <n v="136"/>
    <n v="145"/>
    <n v="5369.02"/>
    <n v="4.1500000000000004"/>
    <n v="95.9"/>
  </r>
  <r>
    <s v="951e8cef368f09bb3f3d03c00ca4702c"/>
    <x v="0"/>
    <n v="62"/>
    <n v="69"/>
    <n v="5353.54"/>
    <n v="4.16"/>
    <n v="94.2"/>
  </r>
  <r>
    <s v="503c1de08ae81a2d86f17951b204db55"/>
    <x v="0"/>
    <n v="22"/>
    <n v="22"/>
    <n v="5321.9"/>
    <n v="4.41"/>
    <n v="95.5"/>
  </r>
  <r>
    <s v="6860153b69cc696d5dcfe1cdaaafcf62"/>
    <x v="0"/>
    <n v="74"/>
    <n v="84"/>
    <n v="5318.23"/>
    <n v="4.16"/>
    <n v="92.9"/>
  </r>
  <r>
    <s v="715bbd5ba4e6b74cb0d2f29eb45058b0"/>
    <x v="0"/>
    <n v="62"/>
    <n v="64"/>
    <n v="5315.88"/>
    <n v="4.47"/>
    <n v="92.2"/>
  </r>
  <r>
    <s v="beadbee30901a7f61d031b6b686095ad"/>
    <x v="0"/>
    <n v="64"/>
    <n v="68"/>
    <n v="5311.52"/>
    <n v="3.94"/>
    <n v="77.900000000000006"/>
  </r>
  <r>
    <s v="ce69a8021d18961dd2a40269b7c2c293"/>
    <x v="4"/>
    <n v="19"/>
    <n v="19"/>
    <n v="5289.05"/>
    <n v="4.47"/>
    <n v="94.7"/>
  </r>
  <r>
    <s v="b4a476fbd28de64b1e347abf9089366a"/>
    <x v="0"/>
    <n v="30"/>
    <n v="35"/>
    <n v="5275.11"/>
    <n v="4"/>
    <n v="94.3"/>
  </r>
  <r>
    <s v="c12b92bf1c350f3e6bf88d3596219c86"/>
    <x v="0"/>
    <n v="17"/>
    <n v="17"/>
    <n v="5252.84"/>
    <n v="3.88"/>
    <n v="94.1"/>
  </r>
  <r>
    <s v="834f8533b2ecb6598dd004ff3de7203a"/>
    <x v="0"/>
    <n v="41"/>
    <n v="45"/>
    <n v="5250.66"/>
    <n v="3.84"/>
    <n v="82.2"/>
  </r>
  <r>
    <s v="d66c305afaec317ebee552073a674429"/>
    <x v="3"/>
    <n v="38"/>
    <n v="44"/>
    <n v="5235.5"/>
    <n v="4.55"/>
    <n v="97.7"/>
  </r>
  <r>
    <s v="eed78ac17f7f795a19a709745f00cd4e"/>
    <x v="0"/>
    <n v="22"/>
    <n v="56"/>
    <n v="5195.84"/>
    <n v="3.41"/>
    <n v="100"/>
  </r>
  <r>
    <s v="99002261c568a84cce14d43fcffb43ea"/>
    <x v="13"/>
    <n v="36"/>
    <n v="36"/>
    <n v="5188.33"/>
    <n v="3.72"/>
    <n v="94.4"/>
  </r>
  <r>
    <s v="b19f3ca2ea475913750f25a5c37c8d8f"/>
    <x v="3"/>
    <n v="19"/>
    <n v="19"/>
    <n v="5176.6499999999996"/>
    <n v="3.26"/>
    <n v="68.400000000000006"/>
  </r>
  <r>
    <s v="9df5750209b83567ec144eb299d7d634"/>
    <x v="8"/>
    <n v="11"/>
    <n v="11"/>
    <n v="5176.3"/>
    <n v="4"/>
    <n v="90.9"/>
  </r>
  <r>
    <s v="4c498c7345e89aebad651544829beca0"/>
    <x v="0"/>
    <n v="47"/>
    <n v="47"/>
    <n v="5131.66"/>
    <n v="4.28"/>
    <n v="89.4"/>
  </r>
  <r>
    <s v="6fc26fe110feebd80a433e1f012a84f9"/>
    <x v="0"/>
    <n v="35"/>
    <n v="72"/>
    <n v="5128.0600000000004"/>
    <n v="4.01"/>
    <n v="93.1"/>
  </r>
  <r>
    <s v="1fe5540d7c1c37a595fefbacd5570d9e"/>
    <x v="2"/>
    <n v="20"/>
    <n v="25"/>
    <n v="5118.75"/>
    <n v="4.28"/>
    <n v="96"/>
  </r>
  <r>
    <s v="0509040ea3fe50071181bbc359eb7738"/>
    <x v="3"/>
    <n v="87"/>
    <n v="96"/>
    <n v="5099.25"/>
    <n v="4.49"/>
    <n v="95.8"/>
  </r>
  <r>
    <s v="8931a84a914b3fe9b1ddaa4d704947ca"/>
    <x v="0"/>
    <n v="29"/>
    <n v="32"/>
    <n v="5092.8900000000003"/>
    <n v="3.77"/>
    <n v="84.4"/>
  </r>
  <r>
    <s v="f0b47fbbc6dee9aafe415a6e33051b3f"/>
    <x v="0"/>
    <n v="67"/>
    <n v="85"/>
    <n v="5087.8999999999996"/>
    <n v="4.26"/>
    <n v="90.6"/>
  </r>
  <r>
    <s v="65febd49fd28ec955651299159b1f527"/>
    <x v="0"/>
    <n v="33"/>
    <n v="38"/>
    <n v="5085.38"/>
    <n v="4.34"/>
    <n v="100"/>
  </r>
  <r>
    <s v="b90e891671cffd9557f33a97dc523645"/>
    <x v="4"/>
    <n v="34"/>
    <n v="39"/>
    <n v="5081.3100000000004"/>
    <n v="4.13"/>
    <n v="100"/>
  </r>
  <r>
    <s v="5c030029b5916fed0986310385ec9009"/>
    <x v="6"/>
    <n v="7"/>
    <n v="10"/>
    <n v="5079.8999999999996"/>
    <n v="4.9000000000000004"/>
    <n v="100"/>
  </r>
  <r>
    <s v="d12c926d74ceff0a90a21184466ce161"/>
    <x v="0"/>
    <n v="76"/>
    <n v="97"/>
    <n v="5075.68"/>
    <n v="4.1100000000000003"/>
    <n v="99"/>
  </r>
  <r>
    <s v="8a130737016f838139d31878787a39c9"/>
    <x v="0"/>
    <n v="56"/>
    <n v="62"/>
    <n v="5064.32"/>
    <n v="4.3499999999999996"/>
    <n v="93.5"/>
  </r>
  <r>
    <s v="bccf933e006e9b94a6184af782963e77"/>
    <x v="0"/>
    <n v="45"/>
    <n v="46"/>
    <n v="5047.21"/>
    <n v="4.53"/>
    <n v="97.8"/>
  </r>
  <r>
    <s v="31da954dc0855f2495c6310f70a2f931"/>
    <x v="0"/>
    <n v="29"/>
    <n v="30"/>
    <n v="5032.71"/>
    <n v="4.2300000000000004"/>
    <n v="93.3"/>
  </r>
  <r>
    <s v="15aac934c58d886785ac1b17953ea898"/>
    <x v="9"/>
    <n v="25"/>
    <n v="26"/>
    <n v="5019.6000000000004"/>
    <n v="4.12"/>
    <n v="84.6"/>
  </r>
  <r>
    <s v="232a6014e7b10cba61c6c2b2ea6bb4b0"/>
    <x v="0"/>
    <n v="32"/>
    <n v="35"/>
    <n v="5017.04"/>
    <n v="4.09"/>
    <n v="97.1"/>
  </r>
  <r>
    <s v="37dd29b36c458d82f74a953c40c43645"/>
    <x v="0"/>
    <n v="7"/>
    <n v="8"/>
    <n v="5016.43"/>
    <n v="4"/>
    <n v="87.5"/>
  </r>
  <r>
    <s v="827f8f69dfa529c561901c4f2e0f332f"/>
    <x v="4"/>
    <n v="91"/>
    <n v="104"/>
    <n v="5003.96"/>
    <n v="4.26"/>
    <n v="94.2"/>
  </r>
  <r>
    <s v="8f580d36c1e9d6fbce95283403c7d447"/>
    <x v="0"/>
    <n v="8"/>
    <n v="8"/>
    <n v="4993.3999999999996"/>
    <n v="4.38"/>
    <n v="87.5"/>
  </r>
  <r>
    <s v="e81e1f9c3e762e620f3fb60a51499e16"/>
    <x v="6"/>
    <n v="17"/>
    <n v="18"/>
    <n v="4979.49"/>
    <n v="3.82"/>
    <n v="88.9"/>
  </r>
  <r>
    <s v="0307f7565ff85b299b6e5ef162b1b1a9"/>
    <x v="0"/>
    <n v="6"/>
    <n v="6"/>
    <n v="4968.8900000000003"/>
    <n v="3.5"/>
    <n v="100"/>
  </r>
  <r>
    <s v="891071be6ba827b591264c90c2ae8a63"/>
    <x v="0"/>
    <n v="85"/>
    <n v="90"/>
    <n v="4957.05"/>
    <n v="3.86"/>
    <n v="86.7"/>
  </r>
  <r>
    <s v="fde0cc9ea29c8ccfc0a2c22256a58c71"/>
    <x v="4"/>
    <n v="35"/>
    <n v="35"/>
    <n v="4921.2700000000004"/>
    <n v="4.49"/>
    <n v="97.1"/>
  </r>
  <r>
    <s v="3c03b12bab54d8b37d79d914bfdb1aa0"/>
    <x v="2"/>
    <n v="37"/>
    <n v="43"/>
    <n v="4919.7700000000004"/>
    <n v="3.88"/>
    <n v="83.7"/>
  </r>
  <r>
    <s v="382229d1e840115ffe3dbf5ff460e417"/>
    <x v="2"/>
    <n v="45"/>
    <n v="48"/>
    <n v="4890.33"/>
    <n v="4.3099999999999996"/>
    <n v="93.8"/>
  </r>
  <r>
    <s v="c840d3fdbba0790404fdae73d253b253"/>
    <x v="4"/>
    <n v="9"/>
    <n v="14"/>
    <n v="4881.93"/>
    <n v="3.93"/>
    <n v="100"/>
  </r>
  <r>
    <s v="968268a686aa05d1f529fb07dff08130"/>
    <x v="0"/>
    <n v="12"/>
    <n v="12"/>
    <n v="4880.84"/>
    <n v="3.5"/>
    <n v="100"/>
  </r>
  <r>
    <s v="2addf05f476d0637864454e93ba673d5"/>
    <x v="10"/>
    <n v="12"/>
    <n v="12"/>
    <n v="4877.6400000000003"/>
    <n v="5"/>
    <n v="100"/>
  </r>
  <r>
    <s v="99a54764c341d5dc80b4a8fac4eba3fb"/>
    <x v="0"/>
    <n v="44"/>
    <n v="66"/>
    <n v="4877.58"/>
    <n v="3.51"/>
    <n v="83.3"/>
  </r>
  <r>
    <s v="f6122bc84774df1b372bdb3bb88ddb9f"/>
    <x v="0"/>
    <n v="3"/>
    <n v="3"/>
    <n v="4874.3599999999997"/>
    <n v="3.67"/>
    <n v="66.7"/>
  </r>
  <r>
    <s v="55a5b51f93f2b70ea513f5a047b0262a"/>
    <x v="3"/>
    <n v="39"/>
    <n v="41"/>
    <n v="4849.38"/>
    <n v="4.49"/>
    <n v="97.6"/>
  </r>
  <r>
    <s v="b76dba6c951ab00dc4edf0a1aa88037e"/>
    <x v="0"/>
    <n v="157"/>
    <n v="167"/>
    <n v="4827.34"/>
    <n v="4.1900000000000004"/>
    <n v="97"/>
  </r>
  <r>
    <s v="43f8c9950d11ecd03a0304a49e010da6"/>
    <x v="0"/>
    <n v="41"/>
    <n v="41"/>
    <n v="4807.22"/>
    <n v="4.5599999999999996"/>
    <n v="95.1"/>
  </r>
  <r>
    <s v="6b3bd31ad8fcda4b2635ec9f3ff2ecdf"/>
    <x v="2"/>
    <n v="35"/>
    <n v="42"/>
    <n v="4801.87"/>
    <n v="3.93"/>
    <n v="90.5"/>
  </r>
  <r>
    <s v="6ec1a01e866584bb679eb9b098345919"/>
    <x v="0"/>
    <n v="30"/>
    <n v="31"/>
    <n v="4794.76"/>
    <n v="4.24"/>
    <n v="77.400000000000006"/>
  </r>
  <r>
    <s v="9803a40e82e45418ab7fb84091af5231"/>
    <x v="12"/>
    <n v="11"/>
    <n v="18"/>
    <n v="4791.38"/>
    <n v="3.11"/>
    <n v="100"/>
  </r>
  <r>
    <s v="e49c26c3edfa46d227d5121a6b6e4d37"/>
    <x v="5"/>
    <n v="34"/>
    <n v="35"/>
    <n v="4765.66"/>
    <n v="4.51"/>
    <n v="100"/>
  </r>
  <r>
    <s v="520b493b57809f446cb0a233bb3e25c7"/>
    <x v="0"/>
    <n v="63"/>
    <n v="73"/>
    <n v="4762.87"/>
    <n v="4.38"/>
    <n v="98.6"/>
  </r>
  <r>
    <s v="cd6efc47efaabf134f8bdb654e10b4f1"/>
    <x v="2"/>
    <n v="31"/>
    <n v="32"/>
    <n v="4757.16"/>
    <n v="4.5"/>
    <n v="93.8"/>
  </r>
  <r>
    <s v="ec8879960bd2221d5c32f8e12f7da711"/>
    <x v="0"/>
    <n v="35"/>
    <n v="35"/>
    <n v="4756.26"/>
    <n v="4.29"/>
    <n v="82.9"/>
  </r>
  <r>
    <s v="f76a3b1349b6df1ee875d1f3fa4340f0"/>
    <x v="0"/>
    <n v="24"/>
    <n v="24"/>
    <n v="4748.9799999999996"/>
    <n v="3.46"/>
    <n v="70.8"/>
  </r>
  <r>
    <s v="180c3376aff0e43dd5788709df48a843"/>
    <x v="0"/>
    <n v="5"/>
    <n v="10"/>
    <n v="4722.97"/>
    <n v="4.7"/>
    <n v="90"/>
  </r>
  <r>
    <s v="81f89e42267213cb94da7ddc301651da"/>
    <x v="0"/>
    <n v="46"/>
    <n v="52"/>
    <n v="4721.18"/>
    <n v="3.54"/>
    <n v="100"/>
  </r>
  <r>
    <s v="1b938a7ec6ac5061a66a3766e0e75f90"/>
    <x v="0"/>
    <n v="29"/>
    <n v="31"/>
    <n v="4719.45"/>
    <n v="4.45"/>
    <n v="100"/>
  </r>
  <r>
    <s v="13fa2a6c6b9d0f43cb588d7c82117a12"/>
    <x v="0"/>
    <n v="9"/>
    <n v="10"/>
    <n v="4719.4399999999996"/>
    <n v="4"/>
    <n v="70"/>
  </r>
  <r>
    <s v="1eade46fba20122dc4aefb379f8c636b"/>
    <x v="0"/>
    <n v="58"/>
    <n v="75"/>
    <n v="4673.71"/>
    <n v="4.3099999999999996"/>
    <n v="88"/>
  </r>
  <r>
    <s v="f97e2b0650c2068227e1d366140eb62f"/>
    <x v="0"/>
    <n v="16"/>
    <n v="21"/>
    <n v="4665.9799999999996"/>
    <n v="3.65"/>
    <n v="95.2"/>
  </r>
  <r>
    <s v="c500367424994318b9e779ff1ae9a330"/>
    <x v="0"/>
    <n v="9"/>
    <n v="9"/>
    <n v="4658.3900000000003"/>
    <n v="3.78"/>
    <n v="88.9"/>
  </r>
  <r>
    <s v="3f3486b61f45078d4f31ee5e43d8c5bb"/>
    <x v="0"/>
    <n v="39"/>
    <n v="39"/>
    <n v="4653.13"/>
    <n v="4.33"/>
    <n v="89.7"/>
  </r>
  <r>
    <s v="cb41bfbcbda0aea354a834ab222f9a59"/>
    <x v="0"/>
    <n v="11"/>
    <n v="11"/>
    <n v="4650.66"/>
    <n v="3.27"/>
    <n v="63.6"/>
  </r>
  <r>
    <s v="bf3c6d2a28b2b5501e6c15448982dcc9"/>
    <x v="0"/>
    <n v="35"/>
    <n v="43"/>
    <n v="4648.1499999999996"/>
    <n v="4.42"/>
    <n v="97.7"/>
  </r>
  <r>
    <s v="13d058e4eeac2ce8217660b2f8a05812"/>
    <x v="0"/>
    <n v="22"/>
    <n v="22"/>
    <n v="4647.37"/>
    <n v="4.18"/>
    <n v="90.9"/>
  </r>
  <r>
    <s v="8f119a0aee85c0c8fc534629734e94fd"/>
    <x v="0"/>
    <n v="75"/>
    <n v="81"/>
    <n v="4645.8900000000003"/>
    <n v="4.25"/>
    <n v="95.1"/>
  </r>
  <r>
    <s v="f3da5b2ff499efb8d4a6d371d175d7dd"/>
    <x v="0"/>
    <n v="77"/>
    <n v="82"/>
    <n v="4640.59"/>
    <n v="3.92"/>
    <n v="89"/>
  </r>
  <r>
    <s v="95f83f51203c626648c875dd41874c7f"/>
    <x v="3"/>
    <n v="50"/>
    <n v="65"/>
    <n v="4631.8"/>
    <n v="3.22"/>
    <n v="96.9"/>
  </r>
  <r>
    <s v="3f995f07c49d0d55a99d5c54957f7d81"/>
    <x v="0"/>
    <n v="43"/>
    <n v="43"/>
    <n v="4627.2"/>
    <n v="4.21"/>
    <n v="97.7"/>
  </r>
  <r>
    <s v="8cbac7e12637ed9cffa18c7875207478"/>
    <x v="6"/>
    <n v="66"/>
    <n v="81"/>
    <n v="4596.71"/>
    <n v="4.1900000000000004"/>
    <n v="95.1"/>
  </r>
  <r>
    <s v="681fce914360217db47784ae28905a96"/>
    <x v="4"/>
    <n v="23"/>
    <n v="24"/>
    <n v="4571.8"/>
    <n v="3.87"/>
    <n v="87.5"/>
  </r>
  <r>
    <s v="8ed8ea9a57c862f2c18c2fe41f601d56"/>
    <x v="6"/>
    <n v="19"/>
    <n v="19"/>
    <n v="4562.97"/>
    <n v="4.47"/>
    <n v="100"/>
  </r>
  <r>
    <s v="6b333a05bf188ef3e1f1662a86bd9855"/>
    <x v="10"/>
    <n v="12"/>
    <n v="13"/>
    <n v="4554.88"/>
    <n v="4.38"/>
    <n v="92.3"/>
  </r>
  <r>
    <s v="e883aa812c37a7413226856f4579fe91"/>
    <x v="0"/>
    <n v="26"/>
    <n v="29"/>
    <n v="4554.46"/>
    <n v="3.9"/>
    <n v="96.6"/>
  </r>
  <r>
    <s v="238fac594e170b59c6d228f5a4f4f1d9"/>
    <x v="0"/>
    <n v="29"/>
    <n v="30"/>
    <n v="4545.5200000000004"/>
    <n v="3.97"/>
    <n v="86.7"/>
  </r>
  <r>
    <s v="3361277dc30b7cccdb0c286b24219756"/>
    <x v="4"/>
    <n v="29"/>
    <n v="42"/>
    <n v="4540.8999999999996"/>
    <n v="4.21"/>
    <n v="88.1"/>
  </r>
  <r>
    <s v="f021c962aaba8ef6eb527a9c2c8394d1"/>
    <x v="6"/>
    <n v="5"/>
    <n v="5"/>
    <n v="4533.87"/>
    <n v="4.2"/>
    <n v="100"/>
  </r>
  <r>
    <s v="1fdc574883ef3b33ad41562d93f3a74a"/>
    <x v="0"/>
    <n v="18"/>
    <n v="18"/>
    <n v="4524.2700000000004"/>
    <n v="4.4400000000000004"/>
    <n v="94.4"/>
  </r>
  <r>
    <s v="6a0cbc8af2e8abd1bdfb777943d174c6"/>
    <x v="0"/>
    <n v="34"/>
    <n v="34"/>
    <n v="4517.1499999999996"/>
    <n v="4.03"/>
    <n v="91.2"/>
  </r>
  <r>
    <s v="7f152321c60a266edc53af1925ef96c1"/>
    <x v="6"/>
    <n v="20"/>
    <n v="20"/>
    <n v="4471.92"/>
    <n v="3.8"/>
    <n v="70"/>
  </r>
  <r>
    <s v="56642bcb79900e777d68e91915cb4267"/>
    <x v="0"/>
    <n v="48"/>
    <n v="56"/>
    <n v="4471.79"/>
    <n v="3.77"/>
    <n v="83.9"/>
  </r>
  <r>
    <s v="f00e21b1e91a79653163b7fd8f293ff1"/>
    <x v="0"/>
    <n v="31"/>
    <n v="31"/>
    <n v="4471.0600000000004"/>
    <n v="4.0999999999999996"/>
    <n v="96.8"/>
  </r>
  <r>
    <s v="602044f2c16190c2c6e45eb35c2e21cb"/>
    <x v="0"/>
    <n v="48"/>
    <n v="55"/>
    <n v="4468.93"/>
    <n v="3.04"/>
    <n v="80"/>
  </r>
  <r>
    <s v="f4aba7c0bca51484c30ab7bdc34bcdd1"/>
    <x v="0"/>
    <n v="108"/>
    <n v="115"/>
    <n v="4467.13"/>
    <n v="3.9"/>
    <n v="93.9"/>
  </r>
  <r>
    <s v="6288c69c4ce638e59925e59193f98b16"/>
    <x v="0"/>
    <n v="20"/>
    <n v="20"/>
    <n v="4467.01"/>
    <n v="4.25"/>
    <n v="95"/>
  </r>
  <r>
    <s v="282c7480173bb9c01dd41cc739fec010"/>
    <x v="0"/>
    <n v="5"/>
    <n v="8"/>
    <n v="4466.3100000000004"/>
    <n v="4.43"/>
    <n v="87.5"/>
  </r>
  <r>
    <s v="02f5837340d7eb4f653d676c7256523a"/>
    <x v="4"/>
    <n v="30"/>
    <n v="30"/>
    <n v="4463.88"/>
    <n v="4.83"/>
    <n v="96.7"/>
  </r>
  <r>
    <s v="406822777a0b9eb5c50e442dd4cd3ec5"/>
    <x v="0"/>
    <n v="44"/>
    <n v="46"/>
    <n v="4449.21"/>
    <n v="4.3600000000000003"/>
    <n v="89.1"/>
  </r>
  <r>
    <s v="14d7985702e72162bbf13b6beb74ab2b"/>
    <x v="0"/>
    <n v="37"/>
    <n v="38"/>
    <n v="4441"/>
    <n v="4.34"/>
    <n v="89.5"/>
  </r>
  <r>
    <s v="870d0118f7a9d85960f29ad89d5d989a"/>
    <x v="3"/>
    <n v="45"/>
    <n v="61"/>
    <n v="4428.03"/>
    <n v="4.0199999999999996"/>
    <n v="95.1"/>
  </r>
  <r>
    <s v="6bb0724edf0b62fb91ac404873a97241"/>
    <x v="0"/>
    <n v="17"/>
    <n v="18"/>
    <n v="4416.5200000000004"/>
    <n v="4.5"/>
    <n v="94.4"/>
  </r>
  <r>
    <s v="d5ba419e26d246a0719437cf37d9b46d"/>
    <x v="0"/>
    <n v="33"/>
    <n v="34"/>
    <n v="4415.8"/>
    <n v="3.91"/>
    <n v="91.2"/>
  </r>
  <r>
    <s v="b17b679f4f5ce2e03ce6968c62648246"/>
    <x v="0"/>
    <n v="50"/>
    <n v="51"/>
    <n v="4404.3599999999997"/>
    <n v="3.92"/>
    <n v="84.3"/>
  </r>
  <r>
    <s v="79ed755314cfe6df0daef2c6cd3022cd"/>
    <x v="0"/>
    <n v="23"/>
    <n v="25"/>
    <n v="4366.66"/>
    <n v="4.7"/>
    <n v="100"/>
  </r>
  <r>
    <s v="edf96ef93ed595084bbcbd9224bd2894"/>
    <x v="0"/>
    <n v="25"/>
    <n v="28"/>
    <n v="4365.78"/>
    <n v="3.79"/>
    <n v="92.9"/>
  </r>
  <r>
    <s v="2745f798279e0ed033addcc1474776d7"/>
    <x v="0"/>
    <n v="32"/>
    <n v="32"/>
    <n v="4364.99"/>
    <n v="3.97"/>
    <n v="90.6"/>
  </r>
  <r>
    <s v="42fa4ee7240e9b8eb4576358ec142ba7"/>
    <x v="8"/>
    <n v="22"/>
    <n v="22"/>
    <n v="4364.47"/>
    <n v="4.8099999999999996"/>
    <n v="100"/>
  </r>
  <r>
    <s v="3c4e0452bff7a2a788179488d3d77032"/>
    <x v="4"/>
    <n v="32"/>
    <n v="36"/>
    <n v="4352.5200000000004"/>
    <n v="3.74"/>
    <n v="97.2"/>
  </r>
  <r>
    <s v="9b1585752613ec342d03bbab9997ec48"/>
    <x v="2"/>
    <n v="3"/>
    <n v="3"/>
    <n v="4349.04"/>
    <n v="3.67"/>
    <n v="100"/>
  </r>
  <r>
    <s v="ed4311e67debd72b8610a5347a743087"/>
    <x v="0"/>
    <n v="25"/>
    <n v="26"/>
    <n v="4342.8100000000004"/>
    <n v="4.4800000000000004"/>
    <n v="96.2"/>
  </r>
  <r>
    <s v="6481e96574816ead57975da2c0f6d80d"/>
    <x v="0"/>
    <n v="32"/>
    <n v="43"/>
    <n v="4340.8599999999997"/>
    <n v="4.1399999999999997"/>
    <n v="97.7"/>
  </r>
  <r>
    <s v="1b8356dabde1d35e17cef975c3f82730"/>
    <x v="0"/>
    <n v="55"/>
    <n v="60"/>
    <n v="4336.63"/>
    <n v="4.13"/>
    <n v="98.3"/>
  </r>
  <r>
    <s v="38e679b9e0064cd94c6f035707344dae"/>
    <x v="4"/>
    <n v="27"/>
    <n v="28"/>
    <n v="4336.62"/>
    <n v="4.1500000000000004"/>
    <n v="96.4"/>
  </r>
  <r>
    <s v="8b2492b7ff4468839593fafeed55bad9"/>
    <x v="2"/>
    <n v="29"/>
    <n v="45"/>
    <n v="4336.26"/>
    <n v="3.89"/>
    <n v="88.9"/>
  </r>
  <r>
    <s v="4c18691b6037662be2df78a765d98ab5"/>
    <x v="0"/>
    <n v="63"/>
    <n v="67"/>
    <n v="4316.51"/>
    <n v="3.84"/>
    <n v="94"/>
  </r>
  <r>
    <s v="2e13c71026e1a39ba5cc1b86dcb679aa"/>
    <x v="0"/>
    <n v="24"/>
    <n v="28"/>
    <n v="4310.21"/>
    <n v="4.25"/>
    <n v="96.4"/>
  </r>
  <r>
    <s v="2199e7fe213c16213bf5d6a7eadc9a5d"/>
    <x v="0"/>
    <n v="24"/>
    <n v="30"/>
    <n v="4309.1000000000004"/>
    <n v="4.4000000000000004"/>
    <n v="96.7"/>
  </r>
  <r>
    <s v="23a0ffca143a15b9b5bbdb7d552f626a"/>
    <x v="0"/>
    <n v="23"/>
    <n v="24"/>
    <n v="4304.28"/>
    <n v="3.96"/>
    <n v="87.5"/>
  </r>
  <r>
    <s v="070d165398b553f3b4b851c216b8a358"/>
    <x v="0"/>
    <n v="31"/>
    <n v="38"/>
    <n v="4301.1099999999997"/>
    <n v="3.54"/>
    <n v="89.5"/>
  </r>
  <r>
    <s v="8090490573c6c0aa343a7231ebcb8c86"/>
    <x v="0"/>
    <n v="26"/>
    <n v="26"/>
    <n v="4298.03"/>
    <n v="4.1900000000000004"/>
    <n v="92.3"/>
  </r>
  <r>
    <s v="3d8fa2f5b647373c8620330c4e077a9f"/>
    <x v="0"/>
    <n v="42"/>
    <n v="47"/>
    <n v="4295.72"/>
    <n v="4.17"/>
    <n v="97.9"/>
  </r>
  <r>
    <s v="a44fb5a447105f8469bdf16bf9159f25"/>
    <x v="8"/>
    <n v="19"/>
    <n v="19"/>
    <n v="4292.71"/>
    <n v="4.05"/>
    <n v="78.900000000000006"/>
  </r>
  <r>
    <s v="c9a06ece156bb057372c68718ec8909b"/>
    <x v="10"/>
    <n v="11"/>
    <n v="11"/>
    <n v="4281.96"/>
    <n v="3.36"/>
    <n v="100"/>
  </r>
  <r>
    <s v="c731d18cea9bf687ffee82a241c25b11"/>
    <x v="6"/>
    <n v="24"/>
    <n v="26"/>
    <n v="4272.6499999999996"/>
    <n v="3.96"/>
    <n v="100"/>
  </r>
  <r>
    <s v="96804ea39d96eb908e7c3afdb671bb9e"/>
    <x v="3"/>
    <n v="37"/>
    <n v="39"/>
    <n v="4268"/>
    <n v="3.97"/>
    <n v="97.4"/>
  </r>
  <r>
    <s v="5f5b43b2bffa8656e4bc6efeb13cc649"/>
    <x v="0"/>
    <n v="27"/>
    <n v="29"/>
    <n v="4232.6499999999996"/>
    <n v="4.45"/>
    <n v="96.6"/>
  </r>
  <r>
    <s v="271c58a1d139c45eaf3316107c6d3a3b"/>
    <x v="0"/>
    <n v="27"/>
    <n v="27"/>
    <n v="4232.55"/>
    <n v="4.1900000000000004"/>
    <n v="92.6"/>
  </r>
  <r>
    <s v="66dc1b1632bd6a3e508510c5b3492107"/>
    <x v="0"/>
    <n v="36"/>
    <n v="41"/>
    <n v="4231.8999999999996"/>
    <n v="3.49"/>
    <n v="97.6"/>
  </r>
  <r>
    <s v="2d2c62bef4c8ba0dd74e0e228e808539"/>
    <x v="0"/>
    <n v="16"/>
    <n v="16"/>
    <n v="4230.4799999999996"/>
    <n v="4.13"/>
    <n v="87.5"/>
  </r>
  <r>
    <s v="e7d5b006eb624f13074497221eb37807"/>
    <x v="0"/>
    <n v="28"/>
    <n v="63"/>
    <n v="4220.42"/>
    <n v="3.11"/>
    <n v="96.8"/>
  </r>
  <r>
    <s v="f35b3c613c4f7b2275f4185d0a3c59ec"/>
    <x v="0"/>
    <n v="9"/>
    <n v="9"/>
    <n v="4214.29"/>
    <n v="4.5599999999999996"/>
    <n v="88.9"/>
  </r>
  <r>
    <s v="2a167ca73899c85001a837d8fb4962f6"/>
    <x v="0"/>
    <n v="2"/>
    <n v="3"/>
    <n v="4197.62"/>
    <n v="4.33"/>
    <n v="100"/>
  </r>
  <r>
    <s v="08cdbae123ff67ca4e36d9d641ce0119"/>
    <x v="3"/>
    <n v="4"/>
    <n v="6"/>
    <n v="4195.46"/>
    <n v="2.5"/>
    <n v="33.299999999999997"/>
  </r>
  <r>
    <s v="4559697a8f7e637227c2eeaed843baff"/>
    <x v="0"/>
    <n v="39"/>
    <n v="39"/>
    <n v="4189.5200000000004"/>
    <n v="4.21"/>
    <n v="92.3"/>
  </r>
  <r>
    <s v="276677b5d08786d5dce7c2149dcce48b"/>
    <x v="3"/>
    <n v="31"/>
    <n v="45"/>
    <n v="4189.45"/>
    <n v="3.89"/>
    <n v="95.6"/>
  </r>
  <r>
    <s v="bede56095ba33c42038fb85f707b8a42"/>
    <x v="0"/>
    <n v="2"/>
    <n v="2"/>
    <n v="4184.7700000000004"/>
    <n v="4.5"/>
    <n v="100"/>
  </r>
  <r>
    <s v="5d3bb11474a06bdc23fb9e89f1164ee0"/>
    <x v="0"/>
    <n v="31"/>
    <n v="32"/>
    <n v="4178.82"/>
    <n v="3.94"/>
    <n v="96.9"/>
  </r>
  <r>
    <s v="e8f6dc8e6a1dcde89d20e3995c8d90b3"/>
    <x v="0"/>
    <n v="35"/>
    <n v="44"/>
    <n v="4165.54"/>
    <n v="3.57"/>
    <n v="93.2"/>
  </r>
  <r>
    <s v="71039d19d4303bf9054d69e9a9236699"/>
    <x v="0"/>
    <n v="35"/>
    <n v="38"/>
    <n v="4158.6499999999996"/>
    <n v="3.68"/>
    <n v="76.3"/>
  </r>
  <r>
    <s v="e70053bf73d1b5863932e53a9fa47496"/>
    <x v="0"/>
    <n v="7"/>
    <n v="7"/>
    <n v="4158.58"/>
    <n v="4.29"/>
    <n v="100"/>
  </r>
  <r>
    <s v="38874e327ce94d11390b96eb42d61928"/>
    <x v="0"/>
    <n v="6"/>
    <n v="6"/>
    <n v="4158.43"/>
    <n v="4"/>
    <n v="83.3"/>
  </r>
  <r>
    <s v="9646c3513289980f17226a2fc4720dbd"/>
    <x v="0"/>
    <n v="69"/>
    <n v="76"/>
    <n v="4152.2299999999996"/>
    <n v="4.34"/>
    <n v="92.1"/>
  </r>
  <r>
    <s v="33ac3e28642ab8bda860a2f693000e78"/>
    <x v="0"/>
    <n v="34"/>
    <n v="35"/>
    <n v="4151.12"/>
    <n v="4.2300000000000004"/>
    <n v="100"/>
  </r>
  <r>
    <s v="594f9aaa48e5bf431f011ddc5669b0d5"/>
    <x v="3"/>
    <n v="37"/>
    <n v="38"/>
    <n v="4136.41"/>
    <n v="4.58"/>
    <n v="97.4"/>
  </r>
  <r>
    <s v="5d9dc90a686a8fddacffab6bab5653a3"/>
    <x v="0"/>
    <n v="12"/>
    <n v="12"/>
    <n v="4131.2700000000004"/>
    <n v="4.17"/>
    <n v="91.7"/>
  </r>
  <r>
    <s v="643214e62b870443ccbe55ab29a4dccf"/>
    <x v="0"/>
    <n v="65"/>
    <n v="66"/>
    <n v="4120.71"/>
    <n v="4.41"/>
    <n v="87.9"/>
  </r>
  <r>
    <s v="d57e18d5f73c7ccb7f7339b61166898d"/>
    <x v="0"/>
    <n v="61"/>
    <n v="63"/>
    <n v="4111.1899999999996"/>
    <n v="4.4400000000000004"/>
    <n v="100"/>
  </r>
  <r>
    <s v="c0563dd588b775f2e37747ef6ad6c92c"/>
    <x v="0"/>
    <n v="28"/>
    <n v="28"/>
    <n v="4094.68"/>
    <n v="4.3600000000000003"/>
    <n v="89.3"/>
  </r>
  <r>
    <s v="77e4abfd739aed9c46480f90f81c0eb4"/>
    <x v="10"/>
    <n v="18"/>
    <n v="18"/>
    <n v="4092.21"/>
    <n v="4.78"/>
    <n v="100"/>
  </r>
  <r>
    <s v="b1fecf4da1fa2689bccffa0121953643"/>
    <x v="16"/>
    <n v="19"/>
    <n v="20"/>
    <n v="4066.72"/>
    <n v="4.95"/>
    <n v="100"/>
  </r>
  <r>
    <s v="6b90f847357d8981edd79a1eb1bf0acb"/>
    <x v="0"/>
    <n v="45"/>
    <n v="47"/>
    <n v="4059.73"/>
    <n v="4.3600000000000003"/>
    <n v="100"/>
  </r>
  <r>
    <s v="cfd7ddab722b902f7ac5b5f3ba6d723d"/>
    <x v="3"/>
    <n v="12"/>
    <n v="13"/>
    <n v="4058.11"/>
    <n v="4.54"/>
    <n v="100"/>
  </r>
  <r>
    <s v="f0837c8d71434931d9e38e7b79234797"/>
    <x v="8"/>
    <n v="22"/>
    <n v="23"/>
    <n v="4049.36"/>
    <n v="4.6100000000000003"/>
    <n v="95.7"/>
  </r>
  <r>
    <s v="994f04b3718c2bab35c2adfa8afecd2a"/>
    <x v="0"/>
    <n v="47"/>
    <n v="55"/>
    <n v="4044.45"/>
    <n v="4.33"/>
    <n v="94.5"/>
  </r>
  <r>
    <s v="3bdff180c7e1f6551a643b99c265a120"/>
    <x v="0"/>
    <n v="56"/>
    <n v="58"/>
    <n v="4012.08"/>
    <n v="4.18"/>
    <n v="96.6"/>
  </r>
  <r>
    <s v="a2b5b6105ea5942300631d2e76f4ffe0"/>
    <x v="0"/>
    <n v="16"/>
    <n v="16"/>
    <n v="4009.34"/>
    <n v="4.75"/>
    <n v="93.8"/>
  </r>
  <r>
    <s v="3c010235b7345c92f125d14ee232a76b"/>
    <x v="4"/>
    <n v="15"/>
    <n v="15"/>
    <n v="4005.32"/>
    <n v="4.67"/>
    <n v="100"/>
  </r>
  <r>
    <s v="df560393f3a51e74553ab94004ba5c87"/>
    <x v="4"/>
    <n v="26"/>
    <n v="27"/>
    <n v="3999.89"/>
    <n v="3.93"/>
    <n v="92.6"/>
  </r>
  <r>
    <s v="7f2617c58d5d06806987308b45654351"/>
    <x v="0"/>
    <n v="22"/>
    <n v="23"/>
    <n v="3983.27"/>
    <n v="3.87"/>
    <n v="91.3"/>
  </r>
  <r>
    <s v="4da0e408c99d2fdc2126dc9fce518060"/>
    <x v="4"/>
    <n v="44"/>
    <n v="54"/>
    <n v="3964.73"/>
    <n v="4.4400000000000004"/>
    <n v="100"/>
  </r>
  <r>
    <s v="1838dd9b8977065acf51d95e0053ea7a"/>
    <x v="3"/>
    <n v="62"/>
    <n v="65"/>
    <n v="3963.29"/>
    <n v="4.34"/>
    <n v="96.9"/>
  </r>
  <r>
    <s v="4d600e08ecbe08258c79e536c5a42fee"/>
    <x v="4"/>
    <n v="7"/>
    <n v="7"/>
    <n v="3959.13"/>
    <n v="4.43"/>
    <n v="100"/>
  </r>
  <r>
    <s v="eb4df17aed01d918c65f0f8d650900c0"/>
    <x v="0"/>
    <n v="11"/>
    <n v="11"/>
    <n v="3925.46"/>
    <n v="3.91"/>
    <n v="72.7"/>
  </r>
  <r>
    <s v="f4db9b37944bcb8873e6b456ee190bbf"/>
    <x v="0"/>
    <n v="21"/>
    <n v="22"/>
    <n v="3909.94"/>
    <n v="4.55"/>
    <n v="90.9"/>
  </r>
  <r>
    <s v="ec80e49e69745ab6c14f984bf2149423"/>
    <x v="0"/>
    <n v="12"/>
    <n v="12"/>
    <n v="3897.31"/>
    <n v="4"/>
    <n v="91.7"/>
  </r>
  <r>
    <s v="1d0997ff06b524ce9289ffd75114ecd3"/>
    <x v="5"/>
    <n v="3"/>
    <n v="3"/>
    <n v="3873.57"/>
    <n v="3.67"/>
    <n v="66.7"/>
  </r>
  <r>
    <s v="0c7533c71df861ec58ad7ff999ed0e8d"/>
    <x v="0"/>
    <n v="61"/>
    <n v="73"/>
    <n v="3863.51"/>
    <n v="4.08"/>
    <n v="95.9"/>
  </r>
  <r>
    <s v="960945e1a9535cbc0cd6ddd35fbe7ae8"/>
    <x v="0"/>
    <n v="28"/>
    <n v="29"/>
    <n v="3861.53"/>
    <n v="4.66"/>
    <n v="100"/>
  </r>
  <r>
    <s v="8ff38bc3969e67c36c48343a07090f66"/>
    <x v="0"/>
    <n v="2"/>
    <n v="8"/>
    <n v="3859.56"/>
    <n v="2.5"/>
    <n v="100"/>
  </r>
  <r>
    <s v="aae3bfea055532c57fb453ed3ec80b30"/>
    <x v="0"/>
    <n v="48"/>
    <n v="50"/>
    <n v="3857.17"/>
    <n v="3.55"/>
    <n v="100"/>
  </r>
  <r>
    <s v="f7ccf836d21b2fb1de37564105216cc1"/>
    <x v="0"/>
    <n v="69"/>
    <n v="73"/>
    <n v="3856.34"/>
    <n v="3.86"/>
    <n v="93.2"/>
  </r>
  <r>
    <s v="3364a91ec4d56c98e44174de954b94f6"/>
    <x v="17"/>
    <n v="6"/>
    <n v="6"/>
    <n v="3853.85"/>
    <n v="3.83"/>
    <n v="100"/>
  </r>
  <r>
    <s v="3b872fd4747f01cc56206f2934198618"/>
    <x v="0"/>
    <n v="25"/>
    <n v="27"/>
    <n v="3843.11"/>
    <n v="3.89"/>
    <n v="85.2"/>
  </r>
  <r>
    <s v="4677a5437afda5fa7140b927b07be1cc"/>
    <x v="4"/>
    <n v="11"/>
    <n v="11"/>
    <n v="3835.7"/>
    <n v="4.3600000000000003"/>
    <n v="90.9"/>
  </r>
  <r>
    <s v="e48b04bf1aa1ef711caebeb7aede6180"/>
    <x v="4"/>
    <n v="25"/>
    <n v="25"/>
    <n v="3832.73"/>
    <n v="4.4800000000000004"/>
    <n v="100"/>
  </r>
  <r>
    <s v="218f991754f360af9c2daa5e0b8e990c"/>
    <x v="0"/>
    <n v="14"/>
    <n v="17"/>
    <n v="3819.54"/>
    <n v="3.53"/>
    <n v="88.2"/>
  </r>
  <r>
    <s v="f326006815956455b2859abd58fe7e39"/>
    <x v="0"/>
    <n v="9"/>
    <n v="30"/>
    <n v="3813.18"/>
    <n v="4.7"/>
    <n v="100"/>
  </r>
  <r>
    <s v="5f1dc28029d2c244352a68107ec2b542"/>
    <x v="0"/>
    <n v="62"/>
    <n v="78"/>
    <n v="3803.46"/>
    <n v="4.43"/>
    <n v="97.4"/>
  </r>
  <r>
    <s v="c8b3445d737de6befde0c88ede534a5e"/>
    <x v="0"/>
    <n v="30"/>
    <n v="36"/>
    <n v="3800.79"/>
    <n v="3.97"/>
    <n v="97.2"/>
  </r>
  <r>
    <s v="244c2f1bff6afe1f2eaf9bfe9b2aed38"/>
    <x v="0"/>
    <n v="23"/>
    <n v="27"/>
    <n v="3794.87"/>
    <n v="3.81"/>
    <n v="85.2"/>
  </r>
  <r>
    <s v="a938325a4b357fd23a6a4d5bb126408e"/>
    <x v="2"/>
    <n v="24"/>
    <n v="25"/>
    <n v="3791.81"/>
    <n v="3.88"/>
    <n v="96"/>
  </r>
  <r>
    <s v="a17f621c590ea0fab3d5d883e1630ec6"/>
    <x v="0"/>
    <n v="63"/>
    <n v="78"/>
    <n v="3772.27"/>
    <n v="4.18"/>
    <n v="94.9"/>
  </r>
  <r>
    <s v="2d50d6282f8aa2257819a77bfaa0efe0"/>
    <x v="0"/>
    <n v="42"/>
    <n v="43"/>
    <n v="3762.65"/>
    <n v="3.74"/>
    <n v="90.7"/>
  </r>
  <r>
    <s v="f2336e113377dd21c744d9c4fc8293a9"/>
    <x v="0"/>
    <n v="4"/>
    <n v="4"/>
    <n v="3762.08"/>
    <n v="4.25"/>
    <n v="100"/>
  </r>
  <r>
    <s v="54c04bdb5ec46762f8f08c7e8f86ed4a"/>
    <x v="6"/>
    <n v="18"/>
    <n v="19"/>
    <n v="3757.78"/>
    <n v="4.32"/>
    <n v="89.5"/>
  </r>
  <r>
    <s v="5bc24d989e71e93c33e50a7782431b0e"/>
    <x v="3"/>
    <n v="17"/>
    <n v="17"/>
    <n v="3736.53"/>
    <n v="4.3499999999999996"/>
    <n v="100"/>
  </r>
  <r>
    <s v="b1ac6ea7895bc3dd6f0f6f4abbdd2821"/>
    <x v="8"/>
    <n v="38"/>
    <n v="38"/>
    <n v="3734.36"/>
    <n v="4.53"/>
    <n v="100"/>
  </r>
  <r>
    <s v="a0415d9b25ede3c4b1e477e9916ffc03"/>
    <x v="2"/>
    <n v="9"/>
    <n v="9"/>
    <n v="3729.14"/>
    <n v="4.22"/>
    <n v="100"/>
  </r>
  <r>
    <s v="52562a9f449c3dc3d53f5f5b9ed74903"/>
    <x v="15"/>
    <n v="14"/>
    <n v="14"/>
    <n v="3710.64"/>
    <n v="4.79"/>
    <n v="100"/>
  </r>
  <r>
    <s v="bce6a5ecf98e99fd2a8868b15c51f04b"/>
    <x v="0"/>
    <n v="14"/>
    <n v="15"/>
    <n v="3706.5"/>
    <n v="4.13"/>
    <n v="86.7"/>
  </r>
  <r>
    <s v="ed46f1eb4a638113deb2a1137b5f22e9"/>
    <x v="6"/>
    <n v="4"/>
    <n v="4"/>
    <n v="3686.68"/>
    <n v="4"/>
    <n v="100"/>
  </r>
  <r>
    <s v="0ebd97a106433a45a4aebe57c1799778"/>
    <x v="3"/>
    <n v="31"/>
    <n v="32"/>
    <n v="3661.68"/>
    <n v="4.5"/>
    <n v="100"/>
  </r>
  <r>
    <s v="e89c4adbe7b1d0819dbb636e16461cf1"/>
    <x v="0"/>
    <n v="24"/>
    <n v="25"/>
    <n v="3636.15"/>
    <n v="3.88"/>
    <n v="88"/>
  </r>
  <r>
    <s v="b8555308bfdb4ca1ed54325a58da9a97"/>
    <x v="0"/>
    <n v="26"/>
    <n v="28"/>
    <n v="3630.03"/>
    <n v="4.07"/>
    <n v="92.9"/>
  </r>
  <r>
    <s v="c64a2aec32cc408a8a4c6d7c46017f91"/>
    <x v="8"/>
    <n v="9"/>
    <n v="9"/>
    <n v="3628.17"/>
    <n v="3.89"/>
    <n v="100"/>
  </r>
  <r>
    <s v="6750d71153f00fc58829af2a8ef1bcf1"/>
    <x v="2"/>
    <n v="6"/>
    <n v="6"/>
    <n v="3626.5"/>
    <n v="4.17"/>
    <n v="100"/>
  </r>
  <r>
    <s v="d93919c944be9cff128f6c9cb899eacb"/>
    <x v="0"/>
    <n v="33"/>
    <n v="33"/>
    <n v="3624.01"/>
    <n v="4"/>
    <n v="84.8"/>
  </r>
  <r>
    <s v="977f9f63dd360c2a32ece2f93ad6d306"/>
    <x v="0"/>
    <n v="23"/>
    <n v="24"/>
    <n v="3621.92"/>
    <n v="3.92"/>
    <n v="91.7"/>
  </r>
  <r>
    <s v="822b63912576852aea9a8436d72317b7"/>
    <x v="0"/>
    <n v="6"/>
    <n v="7"/>
    <n v="3615.27"/>
    <n v="4.8600000000000003"/>
    <n v="100"/>
  </r>
  <r>
    <s v="432c37c9dfba871172ec162e20118b8c"/>
    <x v="10"/>
    <n v="44"/>
    <n v="55"/>
    <n v="3614.8"/>
    <n v="4.29"/>
    <n v="85.5"/>
  </r>
  <r>
    <s v="cb3dd9ce66268c7a3ca7241ac70ab58c"/>
    <x v="0"/>
    <n v="48"/>
    <n v="50"/>
    <n v="3608.67"/>
    <n v="4.22"/>
    <n v="96"/>
  </r>
  <r>
    <s v="21e83881401b92b49fb09a16d3852291"/>
    <x v="3"/>
    <n v="12"/>
    <n v="13"/>
    <n v="3606.09"/>
    <n v="4.7699999999999996"/>
    <n v="100"/>
  </r>
  <r>
    <s v="afa6714acee029b2dfdf357e5579cc03"/>
    <x v="0"/>
    <n v="16"/>
    <n v="17"/>
    <n v="3603.58"/>
    <n v="4.0599999999999996"/>
    <n v="88.2"/>
  </r>
  <r>
    <s v="585175ec331ea177fa47199e39a6170a"/>
    <x v="3"/>
    <n v="1"/>
    <n v="1"/>
    <n v="3602.47"/>
    <n v="5"/>
    <n v="100"/>
  </r>
  <r>
    <s v="5c6d4016c2a288f074fa0848a2b653d2"/>
    <x v="0"/>
    <n v="31"/>
    <n v="34"/>
    <n v="3598.13"/>
    <n v="4.21"/>
    <n v="91.2"/>
  </r>
  <r>
    <s v="cce6ab8d1682639fe45ab70234f1665f"/>
    <x v="0"/>
    <n v="61"/>
    <n v="64"/>
    <n v="3579.59"/>
    <n v="4.53"/>
    <n v="96.9"/>
  </r>
  <r>
    <s v="a6fe7de3d16f6149ffe280349a8535a0"/>
    <x v="0"/>
    <n v="50"/>
    <n v="51"/>
    <n v="3574.44"/>
    <n v="4.0599999999999996"/>
    <n v="88.2"/>
  </r>
  <r>
    <s v="ae7ab174effdead6c241e547e4ca13f0"/>
    <x v="4"/>
    <n v="6"/>
    <n v="7"/>
    <n v="3574.06"/>
    <n v="3.86"/>
    <n v="100"/>
  </r>
  <r>
    <s v="20d83f3ef0e6925fd74bfd59170babf7"/>
    <x v="0"/>
    <n v="40"/>
    <n v="54"/>
    <n v="3557.21"/>
    <n v="4.3499999999999996"/>
    <n v="96.3"/>
  </r>
  <r>
    <s v="5b51032eddd242adc84c38acab88f23d"/>
    <x v="3"/>
    <n v="12"/>
    <n v="14"/>
    <n v="3548.95"/>
    <n v="3.79"/>
    <n v="100"/>
  </r>
  <r>
    <s v="aeb36d67f1414f234d42a29e27cf1f17"/>
    <x v="0"/>
    <n v="4"/>
    <n v="4"/>
    <n v="3548.1"/>
    <n v="4.5"/>
    <n v="75"/>
  </r>
  <r>
    <s v="318f287a62ab7ac10b703ac37435a231"/>
    <x v="0"/>
    <n v="51"/>
    <n v="61"/>
    <n v="3529.52"/>
    <n v="3.92"/>
    <n v="88.5"/>
  </r>
  <r>
    <s v="f61c63d13f7cd800549d5acdd390ae72"/>
    <x v="0"/>
    <n v="26"/>
    <n v="26"/>
    <n v="3501.69"/>
    <n v="4"/>
    <n v="92.3"/>
  </r>
  <r>
    <s v="c9aafcd0621b2207c10e32c649cada4d"/>
    <x v="0"/>
    <n v="40"/>
    <n v="47"/>
    <n v="3488.55"/>
    <n v="4.34"/>
    <n v="93.6"/>
  </r>
  <r>
    <s v="d17f467e4bf608a510c20d82f4ba3b6b"/>
    <x v="8"/>
    <n v="11"/>
    <n v="11"/>
    <n v="3471.31"/>
    <n v="4.2699999999999996"/>
    <n v="81.8"/>
  </r>
  <r>
    <s v="1771297ac436903d1dd6b0e9279aa505"/>
    <x v="0"/>
    <n v="28"/>
    <n v="36"/>
    <n v="3466.43"/>
    <n v="4.63"/>
    <n v="97.2"/>
  </r>
  <r>
    <s v="fce62094ffe6a4009188ec44e681dfdd"/>
    <x v="0"/>
    <n v="4"/>
    <n v="11"/>
    <n v="3452.63"/>
    <n v="3.18"/>
    <n v="54.5"/>
  </r>
  <r>
    <s v="2a1348e9addc1af5aaa619b1a3679d6b"/>
    <x v="3"/>
    <n v="48"/>
    <n v="51"/>
    <n v="3424.77"/>
    <n v="3.04"/>
    <n v="70.599999999999994"/>
  </r>
  <r>
    <s v="55f7a3319d80f7fdf078b8f03e6725fe"/>
    <x v="0"/>
    <n v="22"/>
    <n v="22"/>
    <n v="3420.45"/>
    <n v="3.77"/>
    <n v="95.5"/>
  </r>
  <r>
    <s v="1ce3ae5a399804d1a87e706f8a813c3e"/>
    <x v="6"/>
    <n v="40"/>
    <n v="44"/>
    <n v="3416.69"/>
    <n v="3.73"/>
    <n v="93.2"/>
  </r>
  <r>
    <s v="430315b7bb4b6e4b3c978f9dfa9b0558"/>
    <x v="0"/>
    <n v="19"/>
    <n v="20"/>
    <n v="3414.56"/>
    <n v="4"/>
    <n v="95"/>
  </r>
  <r>
    <s v="a1474fd46fd3430168f7ec202da39408"/>
    <x v="0"/>
    <n v="12"/>
    <n v="14"/>
    <n v="3413.52"/>
    <n v="4.43"/>
    <n v="85.7"/>
  </r>
  <r>
    <s v="5bc55dbe2f12b6af6d83ed46023e0dc8"/>
    <x v="3"/>
    <n v="17"/>
    <n v="21"/>
    <n v="3409.38"/>
    <n v="2.33"/>
    <n v="81"/>
  </r>
  <r>
    <s v="5cbbd5a299cab112b7bf23862255e43e"/>
    <x v="4"/>
    <n v="36"/>
    <n v="38"/>
    <n v="3385.21"/>
    <n v="4.32"/>
    <n v="100"/>
  </r>
  <r>
    <s v="d25aa0aaacb370e912f8cf6efeba38b3"/>
    <x v="6"/>
    <n v="17"/>
    <n v="21"/>
    <n v="3373.13"/>
    <n v="4.5199999999999996"/>
    <n v="95.2"/>
  </r>
  <r>
    <s v="f7720c4fa8e3aba4546301ab80ea1f1b"/>
    <x v="4"/>
    <n v="59"/>
    <n v="77"/>
    <n v="3360.79"/>
    <n v="4.24"/>
    <n v="96.1"/>
  </r>
  <r>
    <s v="5b35136197710e16ac5e7b7c2bd4ea85"/>
    <x v="2"/>
    <n v="7"/>
    <n v="9"/>
    <n v="3350.29"/>
    <n v="2.56"/>
    <n v="66.7"/>
  </r>
  <r>
    <s v="8d79c8a04e42d722a75097ce5cbcf2ef"/>
    <x v="14"/>
    <n v="26"/>
    <n v="27"/>
    <n v="3347.25"/>
    <n v="4.59"/>
    <n v="92.6"/>
  </r>
  <r>
    <s v="dd533b429f380718b70ad9922c294bae"/>
    <x v="0"/>
    <n v="39"/>
    <n v="43"/>
    <n v="3336.18"/>
    <n v="3.86"/>
    <n v="90.7"/>
  </r>
  <r>
    <s v="31561f325664a8a7aba4c8d0c3a9b3db"/>
    <x v="0"/>
    <n v="36"/>
    <n v="38"/>
    <n v="3329.36"/>
    <n v="4.58"/>
    <n v="100"/>
  </r>
  <r>
    <s v="fd386aa7bed2af3c7035c65506c9b4a3"/>
    <x v="0"/>
    <n v="69"/>
    <n v="76"/>
    <n v="3316.17"/>
    <n v="4.3600000000000003"/>
    <n v="89.5"/>
  </r>
  <r>
    <s v="c394e193cda3b4225ff2094d32184849"/>
    <x v="0"/>
    <n v="2"/>
    <n v="11"/>
    <n v="3312.45"/>
    <n v="5"/>
    <n v="100"/>
  </r>
  <r>
    <s v="2156f2671501a81034d7d07f217609d0"/>
    <x v="0"/>
    <n v="21"/>
    <n v="21"/>
    <n v="3302.99"/>
    <n v="4"/>
    <n v="85.7"/>
  </r>
  <r>
    <s v="3fd1e727ba94cfe122d165e176ce7967"/>
    <x v="0"/>
    <n v="35"/>
    <n v="36"/>
    <n v="3295.89"/>
    <n v="3.97"/>
    <n v="80.599999999999994"/>
  </r>
  <r>
    <s v="33576ec5412fb5905d876f12f33bfde6"/>
    <x v="4"/>
    <n v="31"/>
    <n v="32"/>
    <n v="3287.98"/>
    <n v="4.13"/>
    <n v="96.9"/>
  </r>
  <r>
    <s v="cd06602b43d8800bd0afad514919d35c"/>
    <x v="0"/>
    <n v="43"/>
    <n v="52"/>
    <n v="3287.85"/>
    <n v="3.73"/>
    <n v="96.2"/>
  </r>
  <r>
    <s v="51702dc2a3e106c76dbff722b5bf0726"/>
    <x v="0"/>
    <n v="13"/>
    <n v="14"/>
    <n v="3287.04"/>
    <n v="4.3600000000000003"/>
    <n v="100"/>
  </r>
  <r>
    <s v="730937bf88cb151eb2eb849f642fc213"/>
    <x v="0"/>
    <n v="22"/>
    <n v="26"/>
    <n v="3277.17"/>
    <n v="4.42"/>
    <n v="96.2"/>
  </r>
  <r>
    <s v="f593898ec748b7a8cb81fc04edafd98a"/>
    <x v="0"/>
    <n v="19"/>
    <n v="22"/>
    <n v="3272.35"/>
    <n v="3.45"/>
    <n v="81.8"/>
  </r>
  <r>
    <s v="df56d7b40d437f88407c5f78b63bc328"/>
    <x v="4"/>
    <n v="22"/>
    <n v="25"/>
    <n v="3251.5"/>
    <n v="3.88"/>
    <n v="96"/>
  </r>
  <r>
    <s v="60562ab00b8054280520d390c8c0045c"/>
    <x v="0"/>
    <n v="17"/>
    <n v="17"/>
    <n v="3247.09"/>
    <n v="4.76"/>
    <n v="100"/>
  </r>
  <r>
    <s v="e99e927c81e3f51739c94fcdfca9f10f"/>
    <x v="3"/>
    <n v="21"/>
    <n v="24"/>
    <n v="3236.93"/>
    <n v="3.63"/>
    <n v="95.8"/>
  </r>
  <r>
    <s v="d9e8c084b68fe958861d8f2c21202e6b"/>
    <x v="0"/>
    <n v="9"/>
    <n v="12"/>
    <n v="3231.86"/>
    <n v="4.17"/>
    <n v="100"/>
  </r>
  <r>
    <s v="d93844a9c55ba7ce353388bcf849ea56"/>
    <x v="4"/>
    <n v="12"/>
    <n v="14"/>
    <n v="3229.52"/>
    <n v="4.21"/>
    <n v="100"/>
  </r>
  <r>
    <s v="efcd8d2104f1a05d028af7bad20d974b"/>
    <x v="0"/>
    <n v="46"/>
    <n v="50"/>
    <n v="3225.1"/>
    <n v="4.2"/>
    <n v="98"/>
  </r>
  <r>
    <s v="3cfa1358a6caa965278721344c8d76f2"/>
    <x v="0"/>
    <n v="5"/>
    <n v="5"/>
    <n v="3221.53"/>
    <n v="4.8"/>
    <n v="100"/>
  </r>
  <r>
    <s v="49e7217cfe4e427191c378ec626d8737"/>
    <x v="3"/>
    <n v="12"/>
    <n v="13"/>
    <n v="3220.89"/>
    <n v="4.1500000000000004"/>
    <n v="100"/>
  </r>
  <r>
    <s v="4c8545742faaf58fafd5fd14d25d75cf"/>
    <x v="0"/>
    <n v="4"/>
    <n v="4"/>
    <n v="3216.31"/>
    <n v="4.5"/>
    <n v="100"/>
  </r>
  <r>
    <s v="a369d693961cb93b61ca2cc518872a85"/>
    <x v="0"/>
    <n v="11"/>
    <n v="18"/>
    <n v="3213.79"/>
    <n v="4.1100000000000003"/>
    <n v="100"/>
  </r>
  <r>
    <s v="6338ea67c41078a46ad99cc009654956"/>
    <x v="8"/>
    <n v="37"/>
    <n v="44"/>
    <n v="3210.39"/>
    <n v="4.6100000000000003"/>
    <n v="100"/>
  </r>
  <r>
    <s v="8ab42aa58097fd4668d60cc648225d5f"/>
    <x v="12"/>
    <n v="20"/>
    <n v="26"/>
    <n v="3210.39"/>
    <n v="4.1500000000000004"/>
    <n v="100"/>
  </r>
  <r>
    <s v="bd697db56ff8e7c9cd1abeb7f72029b2"/>
    <x v="0"/>
    <n v="21"/>
    <n v="21"/>
    <n v="3198.93"/>
    <n v="4.33"/>
    <n v="100"/>
  </r>
  <r>
    <s v="fec6275253471ace26d209bbaa64cd0f"/>
    <x v="2"/>
    <n v="9"/>
    <n v="10"/>
    <n v="3195.67"/>
    <n v="4.5999999999999996"/>
    <n v="100"/>
  </r>
  <r>
    <s v="974cf2cb8f4b7add98709c30df02fe10"/>
    <x v="0"/>
    <n v="30"/>
    <n v="30"/>
    <n v="3191.9"/>
    <n v="4.17"/>
    <n v="96.7"/>
  </r>
  <r>
    <s v="f44b6f775a2b390380e0e30b5c9d3eee"/>
    <x v="0"/>
    <n v="10"/>
    <n v="10"/>
    <n v="3188.24"/>
    <n v="4.9000000000000004"/>
    <n v="100"/>
  </r>
  <r>
    <s v="4992e76a42cb3aad7a7047e0d3d7e729"/>
    <x v="0"/>
    <n v="56"/>
    <n v="73"/>
    <n v="3163.56"/>
    <n v="3.88"/>
    <n v="94.5"/>
  </r>
  <r>
    <s v="612a743d294c27884fb7b80d2b19ba35"/>
    <x v="4"/>
    <n v="2"/>
    <n v="3"/>
    <n v="3162.15"/>
    <n v="4.33"/>
    <n v="100"/>
  </r>
  <r>
    <s v="56e361f411e38dcef17cdc2a3d99628b"/>
    <x v="0"/>
    <n v="5"/>
    <n v="10"/>
    <n v="3155.76"/>
    <n v="4.5"/>
    <n v="90"/>
  </r>
  <r>
    <s v="1987cd4be10fe09ee50454f9c354d1c6"/>
    <x v="3"/>
    <n v="14"/>
    <n v="16"/>
    <n v="3135.23"/>
    <n v="4.25"/>
    <n v="93.8"/>
  </r>
  <r>
    <s v="b494891378bd8f4560abe576c52deacd"/>
    <x v="0"/>
    <n v="19"/>
    <n v="21"/>
    <n v="3134.98"/>
    <n v="4.71"/>
    <n v="100"/>
  </r>
  <r>
    <s v="8f54d64f28a993550aa7943f12572959"/>
    <x v="3"/>
    <n v="15"/>
    <n v="16"/>
    <n v="3133.12"/>
    <n v="3.81"/>
    <n v="93.8"/>
  </r>
  <r>
    <s v="157c3e4b42f81ac4a44e8b1ca2fe9876"/>
    <x v="0"/>
    <n v="23"/>
    <n v="31"/>
    <n v="3131.82"/>
    <n v="3.97"/>
    <n v="93.5"/>
  </r>
  <r>
    <s v="9906e7aa42a3c067b7c9a564d01c4320"/>
    <x v="4"/>
    <n v="12"/>
    <n v="16"/>
    <n v="3115.6"/>
    <n v="4.0599999999999996"/>
    <n v="87.5"/>
  </r>
  <r>
    <s v="9c068d10aca38e85c50202e17b4a7e88"/>
    <x v="16"/>
    <n v="17"/>
    <n v="17"/>
    <n v="3108.83"/>
    <n v="4.13"/>
    <n v="82.4"/>
  </r>
  <r>
    <s v="d32e3909cfb714fb2a6cb092c85b9c5f"/>
    <x v="0"/>
    <n v="10"/>
    <n v="11"/>
    <n v="3078.9"/>
    <n v="3.64"/>
    <n v="81.8"/>
  </r>
  <r>
    <s v="820cc752a266cdc6c1a1e61dd4583330"/>
    <x v="4"/>
    <n v="15"/>
    <n v="15"/>
    <n v="3078.77"/>
    <n v="4.13"/>
    <n v="93.3"/>
  </r>
  <r>
    <s v="0885aaf116795758dfeb5f1032487bcd"/>
    <x v="0"/>
    <n v="27"/>
    <n v="29"/>
    <n v="3072.14"/>
    <n v="4.24"/>
    <n v="100"/>
  </r>
  <r>
    <s v="78744a20ee2f80ba64f6804c25def2b8"/>
    <x v="5"/>
    <n v="6"/>
    <n v="6"/>
    <n v="3068.85"/>
    <n v="4.17"/>
    <n v="83.3"/>
  </r>
  <r>
    <s v="d3dcf0604eabf0224fbd5948b5e02f69"/>
    <x v="0"/>
    <n v="9"/>
    <n v="9"/>
    <n v="3067.41"/>
    <n v="3.89"/>
    <n v="66.7"/>
  </r>
  <r>
    <s v="082e0bf4cb865a6533b1e8e498cc0255"/>
    <x v="0"/>
    <n v="11"/>
    <n v="23"/>
    <n v="3064.33"/>
    <n v="3.3"/>
    <n v="87"/>
  </r>
  <r>
    <s v="ede0c03645598cdfc63ca8237acbe73d"/>
    <x v="0"/>
    <n v="43"/>
    <n v="47"/>
    <n v="3060.45"/>
    <n v="3.67"/>
    <n v="68.099999999999994"/>
  </r>
  <r>
    <s v="ccf8813e5a7d6c84d865cd38bfc2b130"/>
    <x v="0"/>
    <n v="26"/>
    <n v="26"/>
    <n v="3051.29"/>
    <n v="4.38"/>
    <n v="96.2"/>
  </r>
  <r>
    <s v="f125f3a310c2e5f822d116147de1e474"/>
    <x v="0"/>
    <n v="16"/>
    <n v="22"/>
    <n v="3049.29"/>
    <n v="4.3600000000000003"/>
    <n v="90.9"/>
  </r>
  <r>
    <s v="bb7a14e229b1c95156719c3d9552eeee"/>
    <x v="2"/>
    <n v="10"/>
    <n v="10"/>
    <n v="3047.61"/>
    <n v="4.5"/>
    <n v="90"/>
  </r>
  <r>
    <s v="b335c59ab742f751a85db9c411a86739"/>
    <x v="3"/>
    <n v="30"/>
    <n v="31"/>
    <n v="3039.04"/>
    <n v="3.94"/>
    <n v="93.5"/>
  </r>
  <r>
    <s v="3504c0cb71d7fa48d967e0e4c94d59d9"/>
    <x v="0"/>
    <n v="53"/>
    <n v="53"/>
    <n v="3037.31"/>
    <n v="4.42"/>
    <n v="100"/>
  </r>
  <r>
    <s v="dd58ee93286b0821565574c570e9e1dc"/>
    <x v="4"/>
    <n v="2"/>
    <n v="2"/>
    <n v="3023.31"/>
    <n v="5"/>
    <n v="100"/>
  </r>
  <r>
    <s v="606ce7768feac12c5e8bd58db8b08f0f"/>
    <x v="0"/>
    <n v="5"/>
    <n v="5"/>
    <n v="3018.86"/>
    <n v="4.8"/>
    <n v="100"/>
  </r>
  <r>
    <s v="ffa6adafb71b807dc13159e26431354c"/>
    <x v="4"/>
    <n v="17"/>
    <n v="17"/>
    <n v="3017.38"/>
    <n v="3.94"/>
    <n v="100"/>
  </r>
  <r>
    <s v="e908c0f3646e8b60375734a350d95d71"/>
    <x v="0"/>
    <n v="1"/>
    <n v="1"/>
    <n v="3009.53"/>
    <n v="4"/>
    <n v="100"/>
  </r>
  <r>
    <s v="4305fe92735c8a43d154ff6dd2b8d927"/>
    <x v="3"/>
    <n v="17"/>
    <n v="19"/>
    <n v="2999.64"/>
    <n v="4.1100000000000003"/>
    <n v="100"/>
  </r>
  <r>
    <s v="b56906f7fd1696e043f1bcce164c487b"/>
    <x v="0"/>
    <n v="40"/>
    <n v="42"/>
    <n v="2995.42"/>
    <n v="3.95"/>
    <n v="95.2"/>
  </r>
  <r>
    <s v="6f229cc508fc6915ed5c499efd93baa4"/>
    <x v="2"/>
    <n v="13"/>
    <n v="14"/>
    <n v="2988.68"/>
    <n v="4.43"/>
    <n v="85.7"/>
  </r>
  <r>
    <s v="5abb8ea023c77787f2c15da891c8d384"/>
    <x v="6"/>
    <n v="13"/>
    <n v="13"/>
    <n v="2987.2"/>
    <n v="3.92"/>
    <n v="76.900000000000006"/>
  </r>
  <r>
    <s v="f805b96fa705ba7995a221f1749dc141"/>
    <x v="4"/>
    <n v="7"/>
    <n v="7"/>
    <n v="2986.87"/>
    <n v="4.43"/>
    <n v="100"/>
  </r>
  <r>
    <s v="b74d1c09cb380e1d03a6f859c6f4224b"/>
    <x v="2"/>
    <n v="30"/>
    <n v="38"/>
    <n v="2984.58"/>
    <n v="4.24"/>
    <n v="84.2"/>
  </r>
  <r>
    <s v="fe26f3ecb51a15e6d8335cd92da42562"/>
    <x v="0"/>
    <n v="7"/>
    <n v="7"/>
    <n v="2971.55"/>
    <n v="4.43"/>
    <n v="85.7"/>
  </r>
  <r>
    <s v="f1b93673502375d491780bb49d615dbc"/>
    <x v="0"/>
    <n v="8"/>
    <n v="10"/>
    <n v="2959.28"/>
    <n v="2.7"/>
    <n v="90"/>
  </r>
  <r>
    <s v="cac876b37d3abcd6bd76caca30277996"/>
    <x v="4"/>
    <n v="27"/>
    <n v="33"/>
    <n v="2958.79"/>
    <n v="4.5599999999999996"/>
    <n v="100"/>
  </r>
  <r>
    <s v="4b0fdb526525f9890eb145bf1534640e"/>
    <x v="0"/>
    <n v="18"/>
    <n v="20"/>
    <n v="2954.21"/>
    <n v="3.95"/>
    <n v="100"/>
  </r>
  <r>
    <s v="5a93f3ab0ef4c84ed5e1b5dbf23978bc"/>
    <x v="0"/>
    <n v="38"/>
    <n v="43"/>
    <n v="2952.22"/>
    <n v="4.8099999999999996"/>
    <n v="97.7"/>
  </r>
  <r>
    <s v="116ccb1a1604bc88e4d234a8c23f33de"/>
    <x v="0"/>
    <n v="61"/>
    <n v="73"/>
    <n v="2948.33"/>
    <n v="4.5999999999999996"/>
    <n v="97.3"/>
  </r>
  <r>
    <s v="888faa8bfb0b159c37de6d898b961c31"/>
    <x v="6"/>
    <n v="19"/>
    <n v="23"/>
    <n v="2945"/>
    <n v="3.87"/>
    <n v="100"/>
  </r>
  <r>
    <s v="1d4587203296c8f4ad134dc286fa6db0"/>
    <x v="0"/>
    <n v="40"/>
    <n v="41"/>
    <n v="2941.91"/>
    <n v="4.37"/>
    <n v="97.6"/>
  </r>
  <r>
    <s v="f214d28e8d8e3ef068748498ccc2f813"/>
    <x v="0"/>
    <n v="52"/>
    <n v="57"/>
    <n v="2937.84"/>
    <n v="4.13"/>
    <n v="93"/>
  </r>
  <r>
    <s v="bc302730ea8cf49b5c74f579febb5bbf"/>
    <x v="0"/>
    <n v="11"/>
    <n v="11"/>
    <n v="2930.17"/>
    <n v="3.82"/>
    <n v="90.9"/>
  </r>
  <r>
    <s v="655220df33262c7e0c4949a147366f94"/>
    <x v="0"/>
    <n v="13"/>
    <n v="15"/>
    <n v="2926.53"/>
    <n v="4.2"/>
    <n v="86.7"/>
  </r>
  <r>
    <s v="0bb738e4d789e63e2267697c42d35a2d"/>
    <x v="0"/>
    <n v="29"/>
    <n v="30"/>
    <n v="2925.34"/>
    <n v="4.63"/>
    <n v="93.3"/>
  </r>
  <r>
    <s v="2c4c47cb51acd5ea5db5e0ae0e26542a"/>
    <x v="0"/>
    <n v="12"/>
    <n v="15"/>
    <n v="2917.37"/>
    <n v="4.5999999999999996"/>
    <n v="100"/>
  </r>
  <r>
    <s v="c4f7fee5b0db50e87766f5a4d1b1b758"/>
    <x v="0"/>
    <n v="5"/>
    <n v="5"/>
    <n v="2914.72"/>
    <n v="4"/>
    <n v="100"/>
  </r>
  <r>
    <s v="d3f39f05462b79a4562d35893a28f159"/>
    <x v="0"/>
    <n v="33"/>
    <n v="37"/>
    <n v="2893.37"/>
    <n v="3.32"/>
    <n v="86.5"/>
  </r>
  <r>
    <s v="41ab63a91b8b264e8c8780368bf1dd5b"/>
    <x v="3"/>
    <n v="12"/>
    <n v="13"/>
    <n v="2874.22"/>
    <n v="4.2300000000000004"/>
    <n v="100"/>
  </r>
  <r>
    <s v="0725b8c0f3f906e58f70cbe76b7c748c"/>
    <x v="0"/>
    <n v="16"/>
    <n v="36"/>
    <n v="2865.47"/>
    <n v="3.65"/>
    <n v="88.9"/>
  </r>
  <r>
    <s v="fdaaf5bfda82b7b80535610c831b8d09"/>
    <x v="0"/>
    <n v="10"/>
    <n v="15"/>
    <n v="2848.32"/>
    <n v="3.93"/>
    <n v="80"/>
  </r>
  <r>
    <s v="bb5bd94c8f59cc050072d2930c869cac"/>
    <x v="0"/>
    <n v="16"/>
    <n v="17"/>
    <n v="2846.64"/>
    <n v="4.24"/>
    <n v="100"/>
  </r>
  <r>
    <s v="8603f0038fe0e52fedd3382d266723de"/>
    <x v="6"/>
    <n v="10"/>
    <n v="10"/>
    <n v="2845.12"/>
    <n v="4.4000000000000004"/>
    <n v="100"/>
  </r>
  <r>
    <s v="1c40343cc5d18c2d8248ac2f3366de34"/>
    <x v="0"/>
    <n v="21"/>
    <n v="22"/>
    <n v="2839.42"/>
    <n v="4.55"/>
    <n v="90.9"/>
  </r>
  <r>
    <s v="5160d23075764e18e07c1f4a87fad743"/>
    <x v="0"/>
    <n v="33"/>
    <n v="38"/>
    <n v="2837.64"/>
    <n v="4.45"/>
    <n v="100"/>
  </r>
  <r>
    <s v="7fc87cc3e89b3d1d5cabdca32f8485aa"/>
    <x v="0"/>
    <n v="14"/>
    <n v="14"/>
    <n v="2835.82"/>
    <n v="3.57"/>
    <n v="78.599999999999994"/>
  </r>
  <r>
    <s v="7238a95bb63ef7e498389fb863b834a1"/>
    <x v="0"/>
    <n v="15"/>
    <n v="15"/>
    <n v="2835.11"/>
    <n v="4.7300000000000004"/>
    <n v="100"/>
  </r>
  <r>
    <s v="cea729054f157f5870bdd321a958d994"/>
    <x v="0"/>
    <n v="24"/>
    <n v="26"/>
    <n v="2831.62"/>
    <n v="4.1900000000000004"/>
    <n v="96.2"/>
  </r>
  <r>
    <s v="ffdd9f82b9a447f6f8d4b91554cc7dd3"/>
    <x v="4"/>
    <n v="18"/>
    <n v="20"/>
    <n v="2828.66"/>
    <n v="4.25"/>
    <n v="100"/>
  </r>
  <r>
    <s v="c013e57c075a06e5b5c48ee03c525719"/>
    <x v="0"/>
    <n v="42"/>
    <n v="45"/>
    <n v="2828.66"/>
    <n v="4.16"/>
    <n v="93.3"/>
  </r>
  <r>
    <s v="e9511df20ccd82658a30c37b7fb343af"/>
    <x v="0"/>
    <n v="22"/>
    <n v="30"/>
    <n v="2823.1"/>
    <n v="4.47"/>
    <n v="100"/>
  </r>
  <r>
    <s v="458d868c9642f55f18f04e951a3fdde6"/>
    <x v="8"/>
    <n v="2"/>
    <n v="2"/>
    <n v="2822.75"/>
    <n v="5"/>
    <n v="100"/>
  </r>
  <r>
    <s v="1444c08e64d55fb3c25f0f09c07ffcf2"/>
    <x v="1"/>
    <n v="1"/>
    <n v="1"/>
    <n v="2818.74"/>
    <n v="1"/>
    <n v="100"/>
  </r>
  <r>
    <s v="6989574bd97d9773f10d232b6c07da59"/>
    <x v="4"/>
    <n v="7"/>
    <n v="7"/>
    <n v="2799.5"/>
    <n v="4.8600000000000003"/>
    <n v="100"/>
  </r>
  <r>
    <s v="47efca563408aae19bb7206c2d969ea9"/>
    <x v="18"/>
    <n v="11"/>
    <n v="11"/>
    <n v="2791.55"/>
    <n v="4.3600000000000003"/>
    <n v="100"/>
  </r>
  <r>
    <s v="1b7e5006cb25dd23ce8686691013b121"/>
    <x v="0"/>
    <n v="11"/>
    <n v="11"/>
    <n v="2785.96"/>
    <n v="4.3600000000000003"/>
    <n v="81.8"/>
  </r>
  <r>
    <s v="14a08204d03bb6b6bde8029f801ae0eb"/>
    <x v="0"/>
    <n v="28"/>
    <n v="38"/>
    <n v="2779.1"/>
    <n v="3.82"/>
    <n v="100"/>
  </r>
  <r>
    <s v="82bd0703a4aefd6b599e5bfdaed378fb"/>
    <x v="0"/>
    <n v="20"/>
    <n v="23"/>
    <n v="2772.41"/>
    <n v="3.78"/>
    <n v="95.7"/>
  </r>
  <r>
    <s v="323ce52b5b81df2cd804b017b7f09aa7"/>
    <x v="0"/>
    <n v="29"/>
    <n v="29"/>
    <n v="2767.65"/>
    <n v="4.43"/>
    <n v="86.2"/>
  </r>
  <r>
    <s v="13074f016982ff2bd6c58ced8682f000"/>
    <x v="8"/>
    <n v="13"/>
    <n v="14"/>
    <n v="2752.66"/>
    <n v="4.1399999999999997"/>
    <n v="78.599999999999994"/>
  </r>
  <r>
    <s v="2e3be8a987a30d7544dbbda6861cc14e"/>
    <x v="3"/>
    <n v="14"/>
    <n v="15"/>
    <n v="2750.91"/>
    <n v="3.6"/>
    <n v="93.3"/>
  </r>
  <r>
    <s v="0015a82c2db000af6aaaf3ae2ecb0532"/>
    <x v="0"/>
    <n v="3"/>
    <n v="3"/>
    <n v="2748.06"/>
    <n v="3.67"/>
    <n v="100"/>
  </r>
  <r>
    <s v="0ffa40d54288e4f3499b8780dd0f144f"/>
    <x v="0"/>
    <n v="33"/>
    <n v="35"/>
    <n v="2746.47"/>
    <n v="4.4000000000000004"/>
    <n v="88.6"/>
  </r>
  <r>
    <s v="8f78f0903005064036736c7173a5c2ed"/>
    <x v="3"/>
    <n v="13"/>
    <n v="21"/>
    <n v="2745.95"/>
    <n v="3.48"/>
    <n v="100"/>
  </r>
  <r>
    <s v="729b2d09b2a0bdab221076327f13d050"/>
    <x v="0"/>
    <n v="48"/>
    <n v="60"/>
    <n v="2739.91"/>
    <n v="4.58"/>
    <n v="96.7"/>
  </r>
  <r>
    <s v="e38db885400cd35c71dfd162f2c1dbcf"/>
    <x v="10"/>
    <n v="30"/>
    <n v="32"/>
    <n v="2737.55"/>
    <n v="4.5"/>
    <n v="90.6"/>
  </r>
  <r>
    <s v="04aba03279157f6d4e0fe8ccaf21963c"/>
    <x v="2"/>
    <n v="15"/>
    <n v="15"/>
    <n v="2735.23"/>
    <n v="4.53"/>
    <n v="93.3"/>
  </r>
  <r>
    <s v="5eeb9c756d9780b96283e5a2ac6da334"/>
    <x v="0"/>
    <n v="9"/>
    <n v="9"/>
    <n v="2718.74"/>
    <n v="4.22"/>
    <n v="77.8"/>
  </r>
  <r>
    <s v="850913d59ce317156b00f3705f1c3edb"/>
    <x v="0"/>
    <n v="29"/>
    <n v="30"/>
    <n v="2701.9"/>
    <n v="3.5"/>
    <n v="83.3"/>
  </r>
  <r>
    <s v="c2d70ce2c5d0a2eb75e78668236e6dc8"/>
    <x v="0"/>
    <n v="13"/>
    <n v="15"/>
    <n v="2699.92"/>
    <n v="4.67"/>
    <n v="100"/>
  </r>
  <r>
    <s v="de0c78824586e9a5f5f04fd84e25df39"/>
    <x v="0"/>
    <n v="14"/>
    <n v="16"/>
    <n v="2697.83"/>
    <n v="4.4400000000000004"/>
    <n v="100"/>
  </r>
  <r>
    <s v="0ed6ce5d87fd9c69eaacaeb778d67235"/>
    <x v="0"/>
    <n v="42"/>
    <n v="42"/>
    <n v="2697.3"/>
    <n v="4.3899999999999997"/>
    <n v="85.7"/>
  </r>
  <r>
    <s v="4978a02ea9c8be7a9b5480680f40334e"/>
    <x v="0"/>
    <n v="18"/>
    <n v="19"/>
    <n v="2696.84"/>
    <n v="3.58"/>
    <n v="100"/>
  </r>
  <r>
    <s v="78c99c6dff4eeae5be99bf635ed21e3f"/>
    <x v="0"/>
    <n v="31"/>
    <n v="39"/>
    <n v="2695.77"/>
    <n v="4.33"/>
    <n v="92.3"/>
  </r>
  <r>
    <s v="1354d51653f645349064725ed204e85e"/>
    <x v="0"/>
    <n v="18"/>
    <n v="20"/>
    <n v="2694.72"/>
    <n v="3.8"/>
    <n v="100"/>
  </r>
  <r>
    <s v="fe49ee029e61e789a1f3a5525f57ba8d"/>
    <x v="0"/>
    <n v="16"/>
    <n v="16"/>
    <n v="2691.15"/>
    <n v="4.25"/>
    <n v="93.8"/>
  </r>
  <r>
    <s v="fb89df7f89fd1b8f03fa2acca1ba7364"/>
    <x v="4"/>
    <n v="22"/>
    <n v="25"/>
    <n v="2687.43"/>
    <n v="3.84"/>
    <n v="92"/>
  </r>
  <r>
    <s v="cfe94489ddd337d1e29e12f2a7205d10"/>
    <x v="0"/>
    <n v="20"/>
    <n v="24"/>
    <n v="2672.82"/>
    <n v="4.13"/>
    <n v="91.7"/>
  </r>
  <r>
    <s v="6df688df543f90e9b38f4319e75a9d88"/>
    <x v="3"/>
    <n v="39"/>
    <n v="55"/>
    <n v="2661.2"/>
    <n v="4.51"/>
    <n v="100"/>
  </r>
  <r>
    <s v="a08692680c77d30a0b4280da5df01c5a"/>
    <x v="0"/>
    <n v="6"/>
    <n v="17"/>
    <n v="2660.91"/>
    <n v="5"/>
    <n v="100"/>
  </r>
  <r>
    <s v="acadd4d36859671cb635527c6c977533"/>
    <x v="0"/>
    <n v="12"/>
    <n v="12"/>
    <n v="2646.94"/>
    <n v="4.25"/>
    <n v="91.7"/>
  </r>
  <r>
    <s v="6bbcb8924baf70b7fe2fe2097e8cd407"/>
    <x v="6"/>
    <n v="10"/>
    <n v="11"/>
    <n v="2646.83"/>
    <n v="4.55"/>
    <n v="100"/>
  </r>
  <r>
    <s v="d06d019f72a04e5497a0b64190af170c"/>
    <x v="0"/>
    <n v="17"/>
    <n v="17"/>
    <n v="2641.44"/>
    <n v="4.53"/>
    <n v="100"/>
  </r>
  <r>
    <s v="9a84ba99f5367fdbd4598363496f1ea2"/>
    <x v="12"/>
    <n v="15"/>
    <n v="15"/>
    <n v="2638.45"/>
    <n v="3.8"/>
    <n v="100"/>
  </r>
  <r>
    <s v="3d39fbf22a665714baf62fae36029e23"/>
    <x v="0"/>
    <n v="8"/>
    <n v="8"/>
    <n v="2634.83"/>
    <n v="4.75"/>
    <n v="100"/>
  </r>
  <r>
    <s v="76833248bbc0e65a0293ec62023e4396"/>
    <x v="0"/>
    <n v="2"/>
    <n v="2"/>
    <n v="2630.68"/>
    <n v="5"/>
    <n v="100"/>
  </r>
  <r>
    <s v="7f7b8245c336066a1f9933c359f11d77"/>
    <x v="0"/>
    <n v="38"/>
    <n v="43"/>
    <n v="2630.23"/>
    <n v="4.5599999999999996"/>
    <n v="97.7"/>
  </r>
  <r>
    <s v="7b8e8ec35bad4b0ef7e3963650b0a87b"/>
    <x v="6"/>
    <n v="5"/>
    <n v="5"/>
    <n v="2616.3000000000002"/>
    <n v="4.8"/>
    <n v="80"/>
  </r>
  <r>
    <s v="c6381d2d013342748761e906d45aff76"/>
    <x v="8"/>
    <n v="15"/>
    <n v="28"/>
    <n v="2614.2600000000002"/>
    <n v="3"/>
    <n v="100"/>
  </r>
  <r>
    <s v="77a515caa36327151d1cc6c32a9f00e1"/>
    <x v="0"/>
    <n v="26"/>
    <n v="26"/>
    <n v="2613.58"/>
    <n v="4.42"/>
    <n v="88.5"/>
  </r>
  <r>
    <s v="cd843d4cf8ef32827de0396605163ba3"/>
    <x v="3"/>
    <n v="5"/>
    <n v="5"/>
    <n v="2612.56"/>
    <n v="3.8"/>
    <n v="100"/>
  </r>
  <r>
    <s v="62c50c1af4dfdc4149d25c5222043d39"/>
    <x v="0"/>
    <n v="12"/>
    <n v="17"/>
    <n v="2607.7800000000002"/>
    <n v="3.47"/>
    <n v="100"/>
  </r>
  <r>
    <s v="34f563c82a85b99ae9e6d60db5fc2e28"/>
    <x v="8"/>
    <n v="8"/>
    <n v="8"/>
    <n v="2578.5"/>
    <n v="4.63"/>
    <n v="100"/>
  </r>
  <r>
    <s v="412a4720f3e9431b4afa1476a1acddbe"/>
    <x v="0"/>
    <n v="21"/>
    <n v="22"/>
    <n v="2569.16"/>
    <n v="4.2699999999999996"/>
    <n v="95.5"/>
  </r>
  <r>
    <s v="1996942dc085d7773ba77a529b163cd0"/>
    <x v="0"/>
    <n v="9"/>
    <n v="9"/>
    <n v="2568.8000000000002"/>
    <n v="4.22"/>
    <n v="100"/>
  </r>
  <r>
    <s v="b83cedfb587e7911540e3f576d6917ce"/>
    <x v="0"/>
    <n v="24"/>
    <n v="25"/>
    <n v="2568.75"/>
    <n v="4.24"/>
    <n v="96"/>
  </r>
  <r>
    <s v="723cd880edaacdb998898b67c8f9da30"/>
    <x v="0"/>
    <n v="11"/>
    <n v="12"/>
    <n v="2549.63"/>
    <n v="4.17"/>
    <n v="91.7"/>
  </r>
  <r>
    <s v="3481aa57cd91f9f9d3fa1fa12d9a3bf7"/>
    <x v="0"/>
    <n v="25"/>
    <n v="25"/>
    <n v="2547.17"/>
    <n v="3.88"/>
    <n v="100"/>
  </r>
  <r>
    <s v="91f0eec23d4a61d7d7caeefa3f0ad1ca"/>
    <x v="6"/>
    <n v="11"/>
    <n v="11"/>
    <n v="2545.2600000000002"/>
    <n v="3.55"/>
    <n v="72.7"/>
  </r>
  <r>
    <s v="cf2384dd2f1dddea3f838efed0945e65"/>
    <x v="0"/>
    <n v="16"/>
    <n v="16"/>
    <n v="2534.94"/>
    <n v="3.94"/>
    <n v="100"/>
  </r>
  <r>
    <s v="9bcdfa7b615b3abb9461d9e3ad9886ae"/>
    <x v="6"/>
    <n v="14"/>
    <n v="20"/>
    <n v="2523.79"/>
    <n v="4.5999999999999996"/>
    <n v="95"/>
  </r>
  <r>
    <s v="120476eb7a04c149d14772edaf5d9bf2"/>
    <x v="2"/>
    <n v="4"/>
    <n v="6"/>
    <n v="2519.63"/>
    <n v="3.83"/>
    <n v="100"/>
  </r>
  <r>
    <s v="f1c1ac3f3efc07e659c035008e615e66"/>
    <x v="0"/>
    <n v="3"/>
    <n v="9"/>
    <n v="2509.6799999999998"/>
    <n v="2.78"/>
    <n v="100"/>
  </r>
  <r>
    <s v="0417b067eeab773d2f7061a726dc477f"/>
    <x v="6"/>
    <n v="13"/>
    <n v="13"/>
    <n v="2501.75"/>
    <n v="3.92"/>
    <n v="76.900000000000006"/>
  </r>
  <r>
    <s v="17908cf9b444ee34047cadd5c0f4a516"/>
    <x v="12"/>
    <n v="11"/>
    <n v="11"/>
    <n v="2495.41"/>
    <n v="4.55"/>
    <n v="90.9"/>
  </r>
  <r>
    <s v="165b1235e9e9942cb5fae67103576fb0"/>
    <x v="0"/>
    <n v="11"/>
    <n v="16"/>
    <n v="2489.8000000000002"/>
    <n v="4.3099999999999996"/>
    <n v="93.8"/>
  </r>
  <r>
    <s v="4391ea5c5990502176a1dcda44a2373d"/>
    <x v="8"/>
    <n v="3"/>
    <n v="5"/>
    <n v="2484.3000000000002"/>
    <n v="4.8"/>
    <n v="100"/>
  </r>
  <r>
    <s v="2be17df1c49978426251562096c3cc09"/>
    <x v="6"/>
    <n v="16"/>
    <n v="16"/>
    <n v="2477.5500000000002"/>
    <n v="4.1900000000000004"/>
    <n v="93.8"/>
  </r>
  <r>
    <s v="f5f2ab9bdb6b30c14c61be68c5ed37da"/>
    <x v="0"/>
    <n v="18"/>
    <n v="18"/>
    <n v="2474.5500000000002"/>
    <n v="4.28"/>
    <n v="94.4"/>
  </r>
  <r>
    <s v="3a734b715d333a2588a3d54a0c9b8746"/>
    <x v="0"/>
    <n v="15"/>
    <n v="21"/>
    <n v="2469.8200000000002"/>
    <n v="4.67"/>
    <n v="95.2"/>
  </r>
  <r>
    <s v="53d00c40e32aeb924a84ce72b1af869d"/>
    <x v="0"/>
    <n v="17"/>
    <n v="17"/>
    <n v="2462.0700000000002"/>
    <n v="4.3499999999999996"/>
    <n v="88.2"/>
  </r>
  <r>
    <s v="8c3b533c63cca56240f94f1e3a6b18ef"/>
    <x v="3"/>
    <n v="3"/>
    <n v="5"/>
    <n v="2459.8200000000002"/>
    <n v="1.67"/>
    <n v="20"/>
  </r>
  <r>
    <s v="8fe8786ee000001ab51d030dfd4a7bf1"/>
    <x v="6"/>
    <n v="5"/>
    <n v="5"/>
    <n v="2456.44"/>
    <n v="4.5999999999999996"/>
    <n v="100"/>
  </r>
  <r>
    <s v="df91910b6a03bb2e3358fa6a35e32f6f"/>
    <x v="0"/>
    <n v="13"/>
    <n v="13"/>
    <n v="2456.2199999999998"/>
    <n v="4.62"/>
    <n v="100"/>
  </r>
  <r>
    <s v="c004e5ea15737026cecaee0447e00b75"/>
    <x v="0"/>
    <n v="1"/>
    <n v="1"/>
    <n v="2455.12"/>
    <n v="1"/>
    <n v="0"/>
  </r>
  <r>
    <s v="daeb5653dd96c1b11860f72209795012"/>
    <x v="3"/>
    <n v="38"/>
    <n v="39"/>
    <n v="2452.9899999999998"/>
    <n v="4.2699999999999996"/>
    <n v="92.3"/>
  </r>
  <r>
    <s v="e5475dcab1e07b63d7f6e902d8f5eda8"/>
    <x v="0"/>
    <n v="19"/>
    <n v="19"/>
    <n v="2443.2199999999998"/>
    <n v="4.1100000000000003"/>
    <n v="94.7"/>
  </r>
  <r>
    <s v="8ca1551acf9832a4cf467bbbac15851f"/>
    <x v="4"/>
    <n v="11"/>
    <n v="12"/>
    <n v="2442.94"/>
    <n v="3.67"/>
    <n v="83.3"/>
  </r>
  <r>
    <s v="c8467937e403e76a8ee9f0ab13f6f5ef"/>
    <x v="3"/>
    <n v="30"/>
    <n v="33"/>
    <n v="2442.7399999999998"/>
    <n v="4.13"/>
    <n v="87.9"/>
  </r>
  <r>
    <s v="373ee4a3a775a733770ca3f790b8b9ac"/>
    <x v="2"/>
    <n v="13"/>
    <n v="22"/>
    <n v="2431.81"/>
    <n v="4"/>
    <n v="90.9"/>
  </r>
  <r>
    <s v="f615fe7efbef0f4f08fd3086bc7a3e60"/>
    <x v="0"/>
    <n v="22"/>
    <n v="23"/>
    <n v="2431.08"/>
    <n v="4.5199999999999996"/>
    <n v="91.3"/>
  </r>
  <r>
    <s v="07bf9669d84d1f11be443a9dd938f698"/>
    <x v="0"/>
    <n v="18"/>
    <n v="24"/>
    <n v="2422.2199999999998"/>
    <n v="3.25"/>
    <n v="100"/>
  </r>
  <r>
    <s v="9dda5bbacd45e18d6485fee649205d09"/>
    <x v="3"/>
    <n v="19"/>
    <n v="22"/>
    <n v="2419.33"/>
    <n v="4.2300000000000004"/>
    <n v="95.5"/>
  </r>
  <r>
    <s v="1b1ae47a313a825a7ccceb8e2e30fa9d"/>
    <x v="4"/>
    <n v="10"/>
    <n v="10"/>
    <n v="2413.37"/>
    <n v="4.22"/>
    <n v="100"/>
  </r>
  <r>
    <s v="6aa3928696eab49a19a466e665a649fd"/>
    <x v="2"/>
    <n v="18"/>
    <n v="22"/>
    <n v="2410.6799999999998"/>
    <n v="4.55"/>
    <n v="95.5"/>
  </r>
  <r>
    <s v="72bc2cce903c872fe376a8faaa81d237"/>
    <x v="0"/>
    <n v="17"/>
    <n v="18"/>
    <n v="2404.9699999999998"/>
    <n v="4.4400000000000004"/>
    <n v="100"/>
  </r>
  <r>
    <s v="55bb6fe5bebe5012e2d7d9928e1128ff"/>
    <x v="0"/>
    <n v="15"/>
    <n v="16"/>
    <n v="2393.02"/>
    <n v="3.56"/>
    <n v="81.3"/>
  </r>
  <r>
    <s v="54583ab379489add547fe47b628db589"/>
    <x v="0"/>
    <n v="10"/>
    <n v="10"/>
    <n v="2391.08"/>
    <n v="4.8"/>
    <n v="100"/>
  </r>
  <r>
    <s v="5debea795b07621e1f90532e18f96145"/>
    <x v="4"/>
    <n v="25"/>
    <n v="33"/>
    <n v="2388.13"/>
    <n v="4.2699999999999996"/>
    <n v="100"/>
  </r>
  <r>
    <s v="6a38087bc8ad4f89ff453561005f6dea"/>
    <x v="12"/>
    <n v="15"/>
    <n v="22"/>
    <n v="2381.35"/>
    <n v="4.41"/>
    <n v="100"/>
  </r>
  <r>
    <s v="3a1a1fec38dd360f15fc912e821e169d"/>
    <x v="0"/>
    <n v="15"/>
    <n v="15"/>
    <n v="2378.63"/>
    <n v="3.87"/>
    <n v="73.3"/>
  </r>
  <r>
    <s v="272f092de69afedd4d2969440b37f18f"/>
    <x v="0"/>
    <n v="25"/>
    <n v="39"/>
    <n v="2374.46"/>
    <n v="4.07"/>
    <n v="100"/>
  </r>
  <r>
    <s v="93b9a99027bd8bd6af682aff18dd19bf"/>
    <x v="0"/>
    <n v="19"/>
    <n v="20"/>
    <n v="2366.79"/>
    <n v="4.16"/>
    <n v="100"/>
  </r>
  <r>
    <s v="25cf099de44674fde97473224f9d59ab"/>
    <x v="0"/>
    <n v="50"/>
    <n v="50"/>
    <n v="2359.5500000000002"/>
    <n v="4.33"/>
    <n v="96"/>
  </r>
  <r>
    <s v="bf84056e679dbe9c69929847a40e338f"/>
    <x v="0"/>
    <n v="35"/>
    <n v="38"/>
    <n v="2356.58"/>
    <n v="3.76"/>
    <n v="94.7"/>
  </r>
  <r>
    <s v="6b536a23086fba0d58c08d68814397f6"/>
    <x v="2"/>
    <n v="18"/>
    <n v="22"/>
    <n v="2356.54"/>
    <n v="4.05"/>
    <n v="90.9"/>
  </r>
  <r>
    <s v="e5f9e61ceb5f523cc966e0f34095032f"/>
    <x v="6"/>
    <n v="4"/>
    <n v="4"/>
    <n v="2353.44"/>
    <n v="4"/>
    <n v="75"/>
  </r>
  <r>
    <s v="3586b8580d9c917874e053a1bb37b5ff"/>
    <x v="0"/>
    <n v="36"/>
    <n v="43"/>
    <n v="2352.35"/>
    <n v="4.4400000000000004"/>
    <n v="95.3"/>
  </r>
  <r>
    <s v="87d30a6a0cbf89356e49324971ab1d24"/>
    <x v="0"/>
    <n v="17"/>
    <n v="17"/>
    <n v="2349.91"/>
    <n v="4.3499999999999996"/>
    <n v="94.1"/>
  </r>
  <r>
    <s v="747e73c01a4593d4cf60dcf970fd2689"/>
    <x v="5"/>
    <n v="3"/>
    <n v="3"/>
    <n v="2341.7600000000002"/>
    <n v="4.33"/>
    <n v="100"/>
  </r>
  <r>
    <s v="bf100ecb7997df312b285358fb32f92c"/>
    <x v="4"/>
    <n v="20"/>
    <n v="21"/>
    <n v="2337.0100000000002"/>
    <n v="4.37"/>
    <n v="100"/>
  </r>
  <r>
    <s v="65b081a070633e057c462abdd6fb9dd8"/>
    <x v="12"/>
    <n v="19"/>
    <n v="20"/>
    <n v="2326.67"/>
    <n v="4.3499999999999996"/>
    <n v="100"/>
  </r>
  <r>
    <s v="8bdd8e3fd58bafa48af76b2c5fd71974"/>
    <x v="0"/>
    <n v="10"/>
    <n v="10"/>
    <n v="2314.2199999999998"/>
    <n v="4.9000000000000004"/>
    <n v="80"/>
  </r>
  <r>
    <s v="95ec4458365c4d11f452ccf538377619"/>
    <x v="0"/>
    <n v="27"/>
    <n v="31"/>
    <n v="2303.4299999999998"/>
    <n v="4.2699999999999996"/>
    <n v="96.8"/>
  </r>
  <r>
    <s v="ea65d8b58316a6f2362f2a9e4b3e86ad"/>
    <x v="0"/>
    <n v="9"/>
    <n v="16"/>
    <n v="2292.2199999999998"/>
    <n v="3.19"/>
    <n v="100"/>
  </r>
  <r>
    <s v="ed859002ad59dbf8cf3602696a6c3000"/>
    <x v="4"/>
    <n v="6"/>
    <n v="11"/>
    <n v="2289.34"/>
    <n v="4.55"/>
    <n v="100"/>
  </r>
  <r>
    <s v="7fdb0720c8d7c9075538b365dc8c3a22"/>
    <x v="4"/>
    <n v="9"/>
    <n v="10"/>
    <n v="2288.31"/>
    <n v="2.4"/>
    <n v="90"/>
  </r>
  <r>
    <s v="1dc2de47ee26a0a5b12dc14fd6dc0dea"/>
    <x v="0"/>
    <n v="25"/>
    <n v="27"/>
    <n v="2287.5"/>
    <n v="4.5199999999999996"/>
    <n v="96.3"/>
  </r>
  <r>
    <s v="f41ce2e25237f9092cd8e6e7516c7a2f"/>
    <x v="0"/>
    <n v="26"/>
    <n v="27"/>
    <n v="2285.8200000000002"/>
    <n v="4.4400000000000004"/>
    <n v="100"/>
  </r>
  <r>
    <s v="bc2ac6b95e1accce9858528ee566c17e"/>
    <x v="0"/>
    <n v="18"/>
    <n v="22"/>
    <n v="2279.56"/>
    <n v="4.6399999999999997"/>
    <n v="100"/>
  </r>
  <r>
    <s v="d97df38225e5abadaff1e72cb72b823c"/>
    <x v="0"/>
    <n v="28"/>
    <n v="28"/>
    <n v="2277.5500000000002"/>
    <n v="3.93"/>
    <n v="85.7"/>
  </r>
  <r>
    <s v="7ade73f1b9b4e965f9009a4c3a7e2c15"/>
    <x v="0"/>
    <n v="26"/>
    <n v="27"/>
    <n v="2274.75"/>
    <n v="4.78"/>
    <n v="100"/>
  </r>
  <r>
    <s v="4c8b8048e33af2bf94f2eb547746a916"/>
    <x v="0"/>
    <n v="19"/>
    <n v="23"/>
    <n v="2267.88"/>
    <n v="3.48"/>
    <n v="87"/>
  </r>
  <r>
    <s v="2a6fbeaa7ab9e5d59a35841a8da71ce4"/>
    <x v="6"/>
    <n v="30"/>
    <n v="30"/>
    <n v="2265.2800000000002"/>
    <n v="3.93"/>
    <n v="93.3"/>
  </r>
  <r>
    <s v="ffeee66ac5d5a62fe688b9d26f83f534"/>
    <x v="0"/>
    <n v="14"/>
    <n v="14"/>
    <n v="2259.5500000000002"/>
    <n v="4.21"/>
    <n v="85.7"/>
  </r>
  <r>
    <s v="dc8798cbf453b7e0f98745e396cc5616"/>
    <x v="0"/>
    <n v="35"/>
    <n v="43"/>
    <n v="2258.9499999999998"/>
    <n v="3.49"/>
    <n v="93"/>
  </r>
  <r>
    <s v="e24d3429d294b2eb200b064ebb035879"/>
    <x v="0"/>
    <n v="19"/>
    <n v="22"/>
    <n v="2250.6999999999998"/>
    <n v="4.1399999999999997"/>
    <n v="95.5"/>
  </r>
  <r>
    <s v="7139dc5186aa238b006e066d8fbab2e4"/>
    <x v="0"/>
    <n v="22"/>
    <n v="24"/>
    <n v="2247.9299999999998"/>
    <n v="4.09"/>
    <n v="87.5"/>
  </r>
  <r>
    <s v="f63d8f293af3a6454377546bd9dd19ff"/>
    <x v="0"/>
    <n v="17"/>
    <n v="28"/>
    <n v="2246.9499999999998"/>
    <n v="3.82"/>
    <n v="85.7"/>
  </r>
  <r>
    <s v="5b33b527da3c5b969cc99dc435cad09a"/>
    <x v="4"/>
    <n v="16"/>
    <n v="17"/>
    <n v="2238.34"/>
    <n v="4.12"/>
    <n v="94.1"/>
  </r>
  <r>
    <s v="d6ab728cf30867cf3f1a2e216ae2f9b7"/>
    <x v="0"/>
    <n v="12"/>
    <n v="14"/>
    <n v="2233.8200000000002"/>
    <n v="4.43"/>
    <n v="100"/>
  </r>
  <r>
    <s v="be9a160a9011f627c3e121d076c1ec7b"/>
    <x v="6"/>
    <n v="5"/>
    <n v="5"/>
    <n v="2230.12"/>
    <n v="4.5999999999999996"/>
    <n v="100"/>
  </r>
  <r>
    <s v="4e5725ba188db8252977a4f0227bd462"/>
    <x v="0"/>
    <n v="21"/>
    <n v="24"/>
    <n v="2229.36"/>
    <n v="3.54"/>
    <n v="79.2"/>
  </r>
  <r>
    <s v="198c7ea11960a9844b544d9bcdca860c"/>
    <x v="3"/>
    <n v="25"/>
    <n v="25"/>
    <n v="2225.38"/>
    <n v="3.88"/>
    <n v="92"/>
  </r>
  <r>
    <s v="fac1a9017ade7bdc94058fc1c969f355"/>
    <x v="0"/>
    <n v="9"/>
    <n v="10"/>
    <n v="2222.91"/>
    <n v="4.7"/>
    <n v="100"/>
  </r>
  <r>
    <s v="3bfba5a77604f6dfae7e6dd7aaf65821"/>
    <x v="4"/>
    <n v="4"/>
    <n v="4"/>
    <n v="2218.19"/>
    <n v="5"/>
    <n v="100"/>
  </r>
  <r>
    <s v="1782ce2db72c3dda627d5e7c898104e1"/>
    <x v="0"/>
    <n v="9"/>
    <n v="10"/>
    <n v="2218.17"/>
    <n v="4.3"/>
    <n v="90"/>
  </r>
  <r>
    <s v="5b581417df4480f632484ba681e53944"/>
    <x v="6"/>
    <n v="11"/>
    <n v="12"/>
    <n v="2214.0100000000002"/>
    <n v="3.5"/>
    <n v="75"/>
  </r>
  <r>
    <s v="c679fb69a36e1d8349e8c50a217b4d58"/>
    <x v="8"/>
    <n v="14"/>
    <n v="17"/>
    <n v="2213.89"/>
    <n v="3.56"/>
    <n v="94.1"/>
  </r>
  <r>
    <s v="3d2531eccfbde1d7c8db7a3a12fb267a"/>
    <x v="3"/>
    <n v="10"/>
    <n v="10"/>
    <n v="2212.6"/>
    <n v="4.22"/>
    <n v="100"/>
  </r>
  <r>
    <s v="71592660bbcb6a4664e97b6f8b68babc"/>
    <x v="0"/>
    <n v="6"/>
    <n v="7"/>
    <n v="2200.5500000000002"/>
    <n v="4.43"/>
    <n v="100"/>
  </r>
  <r>
    <s v="731ef20c231d9a7103a425e83fd91271"/>
    <x v="6"/>
    <n v="2"/>
    <n v="3"/>
    <n v="2197.6"/>
    <n v="3.67"/>
    <n v="100"/>
  </r>
  <r>
    <s v="4e8dacf3d38f281ae26c3e0321d92d88"/>
    <x v="0"/>
    <n v="8"/>
    <n v="9"/>
    <n v="2196.04"/>
    <n v="2.89"/>
    <n v="77.8"/>
  </r>
  <r>
    <s v="c8417879a15366a17c30af34c798c332"/>
    <x v="0"/>
    <n v="25"/>
    <n v="35"/>
    <n v="2192.85"/>
    <n v="4.03"/>
    <n v="97.1"/>
  </r>
  <r>
    <s v="1976a05ecf2996d6ffb7b5430e635fe7"/>
    <x v="0"/>
    <n v="8"/>
    <n v="9"/>
    <n v="2190.66"/>
    <n v="4"/>
    <n v="77.8"/>
  </r>
  <r>
    <s v="15cd6eefe58588619aaed41dfa6621b1"/>
    <x v="3"/>
    <n v="16"/>
    <n v="18"/>
    <n v="2188.86"/>
    <n v="4.33"/>
    <n v="94.4"/>
  </r>
  <r>
    <s v="411f3b52d857390502ee4e4d5ceabc2d"/>
    <x v="0"/>
    <n v="21"/>
    <n v="30"/>
    <n v="2182.7199999999998"/>
    <n v="4.26"/>
    <n v="93.3"/>
  </r>
  <r>
    <s v="a36b125ac6d5fdbc7f50de85c9157bdc"/>
    <x v="0"/>
    <n v="23"/>
    <n v="25"/>
    <n v="2167.54"/>
    <n v="4.04"/>
    <n v="92"/>
  </r>
  <r>
    <s v="a5a1bfcf728ab0e19182959cf0771ee4"/>
    <x v="0"/>
    <n v="21"/>
    <n v="24"/>
    <n v="2160.85"/>
    <n v="4.29"/>
    <n v="95.8"/>
  </r>
  <r>
    <s v="30c7f28fd3a5897b2c82d152bb760c17"/>
    <x v="2"/>
    <n v="6"/>
    <n v="6"/>
    <n v="2160.4699999999998"/>
    <n v="1.4"/>
    <n v="83.3"/>
  </r>
  <r>
    <s v="8de8fe3af4449ed695d2434c933ed73e"/>
    <x v="0"/>
    <n v="1"/>
    <n v="1"/>
    <n v="2155.35"/>
    <n v="5"/>
    <n v="100"/>
  </r>
  <r>
    <s v="112453736dbe3889cfb74e1aaa0ba0c1"/>
    <x v="0"/>
    <n v="7"/>
    <n v="14"/>
    <n v="2154.77"/>
    <n v="4.07"/>
    <n v="100"/>
  </r>
  <r>
    <s v="9449f25aeaf531019b76999ea49a6949"/>
    <x v="2"/>
    <n v="9"/>
    <n v="9"/>
    <n v="2150.04"/>
    <n v="4.22"/>
    <n v="77.8"/>
  </r>
  <r>
    <s v="5ab05b6d86d417796c69ffd6774ec832"/>
    <x v="0"/>
    <n v="10"/>
    <n v="12"/>
    <n v="2142.85"/>
    <n v="3.67"/>
    <n v="91.7"/>
  </r>
  <r>
    <s v="3ca08eeb8d5595949fed424bd3677742"/>
    <x v="4"/>
    <n v="13"/>
    <n v="13"/>
    <n v="2137.98"/>
    <n v="4.6900000000000004"/>
    <n v="100"/>
  </r>
  <r>
    <s v="9b00ed88b7fdb95d6ff76e27c1b52d16"/>
    <x v="0"/>
    <n v="46"/>
    <n v="50"/>
    <n v="2135.6799999999998"/>
    <n v="4.58"/>
    <n v="94"/>
  </r>
  <r>
    <s v="c4fb51fb1c5b7c07bc5e67be6e7e8f6e"/>
    <x v="4"/>
    <n v="15"/>
    <n v="16"/>
    <n v="2126.61"/>
    <n v="3.5"/>
    <n v="87.5"/>
  </r>
  <r>
    <s v="dfc475d54e1b6dbeeb7d7d9bdaa63827"/>
    <x v="4"/>
    <n v="18"/>
    <n v="20"/>
    <n v="2122.13"/>
    <n v="4.55"/>
    <n v="100"/>
  </r>
  <r>
    <s v="91f5779a8731baca4809fdeade81803f"/>
    <x v="2"/>
    <n v="6"/>
    <n v="6"/>
    <n v="2117.09"/>
    <n v="3.83"/>
    <n v="100"/>
  </r>
  <r>
    <s v="d9a84e1403de8da0c3aa531d6d108ba6"/>
    <x v="0"/>
    <n v="53"/>
    <n v="58"/>
    <n v="2109.15"/>
    <n v="4.62"/>
    <n v="94.8"/>
  </r>
  <r>
    <s v="d3674f271c91f824f82d24d92011f669"/>
    <x v="10"/>
    <n v="20"/>
    <n v="20"/>
    <n v="2101.8200000000002"/>
    <n v="4.0999999999999996"/>
    <n v="90"/>
  </r>
  <r>
    <s v="f9903dd0f812c7e771fcad47b6fff231"/>
    <x v="6"/>
    <n v="10"/>
    <n v="15"/>
    <n v="2101.48"/>
    <n v="2.93"/>
    <n v="100"/>
  </r>
  <r>
    <s v="3935fe5fe0f82787a9dcb8deb62be09d"/>
    <x v="0"/>
    <n v="16"/>
    <n v="17"/>
    <n v="2101.35"/>
    <n v="3.94"/>
    <n v="88.2"/>
  </r>
  <r>
    <s v="5b85809efd0d0e4dea1a9544e1280ed9"/>
    <x v="0"/>
    <n v="12"/>
    <n v="14"/>
    <n v="2097.36"/>
    <n v="4.3600000000000003"/>
    <n v="100"/>
  </r>
  <r>
    <s v="d1ef48b38baca7e831711c4a0aeb398f"/>
    <x v="4"/>
    <n v="28"/>
    <n v="34"/>
    <n v="2091.77"/>
    <n v="4.53"/>
    <n v="91.2"/>
  </r>
  <r>
    <s v="013900e863eace745d3ec7614cab5b1a"/>
    <x v="4"/>
    <n v="23"/>
    <n v="26"/>
    <n v="2089.37"/>
    <n v="4.7300000000000004"/>
    <n v="100"/>
  </r>
  <r>
    <s v="74bafed391319577bce6f4d2acc0589a"/>
    <x v="0"/>
    <n v="3"/>
    <n v="3"/>
    <n v="2084.73"/>
    <n v="2.67"/>
    <n v="100"/>
  </r>
  <r>
    <s v="cb5df0dcb9e280b1780e9d589889f2c7"/>
    <x v="0"/>
    <n v="11"/>
    <n v="12"/>
    <n v="2068.8000000000002"/>
    <n v="3.55"/>
    <n v="83.3"/>
  </r>
  <r>
    <s v="c5f7feb04a6a1fb3596322bfc3cf1917"/>
    <x v="0"/>
    <n v="11"/>
    <n v="11"/>
    <n v="2058.46"/>
    <n v="4.2699999999999996"/>
    <n v="90.9"/>
  </r>
  <r>
    <s v="7ecd59e5e20407131822c1a68ac59c1f"/>
    <x v="10"/>
    <n v="24"/>
    <n v="29"/>
    <n v="2054.52"/>
    <n v="4.4800000000000004"/>
    <n v="89.7"/>
  </r>
  <r>
    <s v="1dfe5347016252a7884b694d4f10f5c4"/>
    <x v="0"/>
    <n v="20"/>
    <n v="26"/>
    <n v="2052.54"/>
    <n v="3.19"/>
    <n v="76.900000000000006"/>
  </r>
  <r>
    <s v="3e8bd881d92466e63ba9e3e809cd3c50"/>
    <x v="2"/>
    <n v="8"/>
    <n v="9"/>
    <n v="2049.81"/>
    <n v="4.63"/>
    <n v="66.7"/>
  </r>
  <r>
    <s v="845e8036c3f7bf62099352f5ed910240"/>
    <x v="2"/>
    <n v="21"/>
    <n v="24"/>
    <n v="2045.24"/>
    <n v="3.83"/>
    <n v="100"/>
  </r>
  <r>
    <s v="b2a6d334e2833acea353624840e25a0e"/>
    <x v="0"/>
    <n v="25"/>
    <n v="26"/>
    <n v="2038.59"/>
    <n v="4.5"/>
    <n v="100"/>
  </r>
  <r>
    <s v="3785b653b1b82de85ab47dd139938091"/>
    <x v="4"/>
    <n v="21"/>
    <n v="24"/>
    <n v="2033.27"/>
    <n v="4.75"/>
    <n v="100"/>
  </r>
  <r>
    <s v="8ec76bb0965af3f007692b26fa9d6623"/>
    <x v="6"/>
    <n v="1"/>
    <n v="1"/>
    <n v="2028.75"/>
    <n v="5"/>
    <n v="100"/>
  </r>
  <r>
    <s v="a70e9066dbfd10b6b97a3f54a1356762"/>
    <x v="4"/>
    <n v="2"/>
    <n v="4"/>
    <n v="2027.4"/>
    <n v="5"/>
    <n v="100"/>
  </r>
  <r>
    <s v="656591be56071d4c9ef4e5fee78a578a"/>
    <x v="0"/>
    <n v="7"/>
    <n v="11"/>
    <n v="2021.2"/>
    <n v="4.6399999999999997"/>
    <n v="72.7"/>
  </r>
  <r>
    <s v="293dee954235e4e4e43f129313625ebe"/>
    <x v="10"/>
    <n v="8"/>
    <n v="8"/>
    <n v="2019.22"/>
    <n v="5"/>
    <n v="100"/>
  </r>
  <r>
    <s v="901b460cdce0c64e471230d7f2f9f3a3"/>
    <x v="8"/>
    <n v="5"/>
    <n v="5"/>
    <n v="2012.56"/>
    <n v="4.4000000000000004"/>
    <n v="100"/>
  </r>
  <r>
    <s v="f1ed6bd0a9b11b581f16c851c6a5a527"/>
    <x v="8"/>
    <n v="17"/>
    <n v="18"/>
    <n v="1996.58"/>
    <n v="4.4400000000000004"/>
    <n v="94.4"/>
  </r>
  <r>
    <s v="002100f778ceb8431b7a1020ff7ab48f"/>
    <x v="0"/>
    <n v="50"/>
    <n v="54"/>
    <n v="1995.16"/>
    <n v="4.04"/>
    <n v="83.3"/>
  </r>
  <r>
    <s v="7586919161935337bf6b6d7ff5779648"/>
    <x v="2"/>
    <n v="11"/>
    <n v="18"/>
    <n v="1994.93"/>
    <n v="3.17"/>
    <n v="88.9"/>
  </r>
  <r>
    <s v="75fbb52eda0cbc24f479d3b2fbfa8d3e"/>
    <x v="12"/>
    <n v="38"/>
    <n v="41"/>
    <n v="1994.45"/>
    <n v="4.49"/>
    <n v="95.1"/>
  </r>
  <r>
    <s v="abbf6046bbdf1028606a5bc7f00c99e7"/>
    <x v="6"/>
    <n v="6"/>
    <n v="6"/>
    <n v="1994.26"/>
    <n v="4.67"/>
    <n v="100"/>
  </r>
  <r>
    <s v="5b0cc932433fa5184b5b94bfe6bcc256"/>
    <x v="0"/>
    <n v="12"/>
    <n v="17"/>
    <n v="1994.09"/>
    <n v="3.47"/>
    <n v="76.5"/>
  </r>
  <r>
    <s v="1690cada046eb7e92c12f98b1f8a8167"/>
    <x v="0"/>
    <n v="10"/>
    <n v="10"/>
    <n v="1992.91"/>
    <n v="4.9000000000000004"/>
    <n v="90"/>
  </r>
  <r>
    <s v="058cb5aeb36d7c0fcae20fc85d5e0a59"/>
    <x v="2"/>
    <n v="11"/>
    <n v="12"/>
    <n v="1983.82"/>
    <n v="3.58"/>
    <n v="91.7"/>
  </r>
  <r>
    <s v="15fa791d5e017f66402dc28c44480657"/>
    <x v="0"/>
    <n v="8"/>
    <n v="8"/>
    <n v="1983.29"/>
    <n v="4.25"/>
    <n v="87.5"/>
  </r>
  <r>
    <s v="094ced053e257ae8cae57205592d6712"/>
    <x v="0"/>
    <n v="19"/>
    <n v="19"/>
    <n v="1978.23"/>
    <n v="4.05"/>
    <n v="100"/>
  </r>
  <r>
    <s v="ca4b77513ac2040591b0d8fae6958380"/>
    <x v="0"/>
    <n v="14"/>
    <n v="15"/>
    <n v="1973.62"/>
    <n v="4.47"/>
    <n v="86.7"/>
  </r>
  <r>
    <s v="406740ee611378a662d274c7d8c43c4a"/>
    <x v="9"/>
    <n v="8"/>
    <n v="10"/>
    <n v="1972.08"/>
    <n v="4.0999999999999996"/>
    <n v="80"/>
  </r>
  <r>
    <s v="2a61c271b1ac763450d846849783e922"/>
    <x v="0"/>
    <n v="17"/>
    <n v="22"/>
    <n v="1969.04"/>
    <n v="3.68"/>
    <n v="86.4"/>
  </r>
  <r>
    <s v="c3e1abd72a42fe690fcd89cf5720fe29"/>
    <x v="0"/>
    <n v="13"/>
    <n v="13"/>
    <n v="1967.58"/>
    <n v="4.46"/>
    <n v="100"/>
  </r>
  <r>
    <s v="dd4d95ba2d15c071e6c695e2ef6ce169"/>
    <x v="9"/>
    <n v="4"/>
    <n v="4"/>
    <n v="1962.41"/>
    <n v="4.25"/>
    <n v="50"/>
  </r>
  <r>
    <s v="a4bd6e9adf39b63f43dc545d3ca1f53d"/>
    <x v="2"/>
    <n v="4"/>
    <n v="5"/>
    <n v="1960.97"/>
    <n v="4.5999999999999996"/>
    <n v="100"/>
  </r>
  <r>
    <s v="8378eb36b6b70c5734e83ad7b8cdc3b7"/>
    <x v="6"/>
    <n v="7"/>
    <n v="13"/>
    <n v="1956.67"/>
    <n v="3.77"/>
    <n v="76.900000000000006"/>
  </r>
  <r>
    <s v="e2c92f9c1c7746d899d18f2e158bbff7"/>
    <x v="0"/>
    <n v="12"/>
    <n v="12"/>
    <n v="1956.3"/>
    <n v="4.58"/>
    <n v="100"/>
  </r>
  <r>
    <s v="2ff6b7bff164ef05590a52734e1296da"/>
    <x v="4"/>
    <n v="7"/>
    <n v="7"/>
    <n v="1955.12"/>
    <n v="4.71"/>
    <n v="100"/>
  </r>
  <r>
    <s v="fa3a0b5aabb344b9a92e3524b0202123"/>
    <x v="0"/>
    <n v="7"/>
    <n v="7"/>
    <n v="1953.41"/>
    <n v="4.1399999999999997"/>
    <n v="85.7"/>
  </r>
  <r>
    <s v="ffc470761de7d0232558ba5e786e57b7"/>
    <x v="0"/>
    <n v="27"/>
    <n v="30"/>
    <n v="1950.22"/>
    <n v="4.3"/>
    <n v="93.3"/>
  </r>
  <r>
    <s v="df0f42bc4c2142eacf0eaf2cffd0cfbb"/>
    <x v="6"/>
    <n v="14"/>
    <n v="16"/>
    <n v="1946.45"/>
    <n v="4.0599999999999996"/>
    <n v="100"/>
  </r>
  <r>
    <s v="d5b9a084373da994a6e37f732169a853"/>
    <x v="0"/>
    <n v="7"/>
    <n v="7"/>
    <n v="1945.29"/>
    <n v="3.57"/>
    <n v="85.7"/>
  </r>
  <r>
    <s v="0b18d63d0cd1d723567903fd34a07df2"/>
    <x v="0"/>
    <n v="9"/>
    <n v="14"/>
    <n v="1944.03"/>
    <n v="4.79"/>
    <n v="100"/>
  </r>
  <r>
    <s v="8a2d12a90e92f012ce5226fc6592b653"/>
    <x v="4"/>
    <n v="18"/>
    <n v="18"/>
    <n v="1933.62"/>
    <n v="4.59"/>
    <n v="100"/>
  </r>
  <r>
    <s v="e63e8bfa530fb16910dd6956e592bb81"/>
    <x v="0"/>
    <n v="41"/>
    <n v="42"/>
    <n v="1928.21"/>
    <n v="4.33"/>
    <n v="95.2"/>
  </r>
  <r>
    <s v="3a4127e1ba7208ea37044c5092aae170"/>
    <x v="0"/>
    <n v="5"/>
    <n v="5"/>
    <n v="1924.15"/>
    <n v="4"/>
    <n v="100"/>
  </r>
  <r>
    <s v="26e2c91ef821e1ff8985f408788fe35b"/>
    <x v="0"/>
    <n v="12"/>
    <n v="14"/>
    <n v="1923.87"/>
    <n v="3"/>
    <n v="64.3"/>
  </r>
  <r>
    <s v="0ac4201fda2c68ebc0e47cb9423cf3c9"/>
    <x v="0"/>
    <n v="13"/>
    <n v="14"/>
    <n v="1910.87"/>
    <n v="4.29"/>
    <n v="92.9"/>
  </r>
  <r>
    <s v="edc518ba25576a0188a0e8f2c3af186f"/>
    <x v="0"/>
    <n v="6"/>
    <n v="8"/>
    <n v="1909.55"/>
    <n v="3.5"/>
    <n v="100"/>
  </r>
  <r>
    <s v="718539d38d07dd351c76db862760e2e2"/>
    <x v="0"/>
    <n v="35"/>
    <n v="43"/>
    <n v="1907.61"/>
    <n v="4.49"/>
    <n v="100"/>
  </r>
  <r>
    <s v="39d54ff918774174706fb065d7f9dc07"/>
    <x v="0"/>
    <n v="22"/>
    <n v="24"/>
    <n v="1902.72"/>
    <n v="3.92"/>
    <n v="91.7"/>
  </r>
  <r>
    <s v="6ddc28b61be28373b4503a1f61cf98a9"/>
    <x v="0"/>
    <n v="11"/>
    <n v="11"/>
    <n v="1900.09"/>
    <n v="4.18"/>
    <n v="90.9"/>
  </r>
  <r>
    <s v="e64d65bc8dbec2accda90c58de5d1246"/>
    <x v="0"/>
    <n v="12"/>
    <n v="12"/>
    <n v="1899.96"/>
    <n v="3.08"/>
    <n v="75"/>
  </r>
  <r>
    <s v="66fd84ee7528c0c0de85d0f44a73d5ab"/>
    <x v="8"/>
    <n v="11"/>
    <n v="21"/>
    <n v="1891.3"/>
    <n v="2.9"/>
    <n v="95.2"/>
  </r>
  <r>
    <s v="52f0fe436a347ddad7ed5f9aa4e27eaa"/>
    <x v="0"/>
    <n v="19"/>
    <n v="21"/>
    <n v="1888.83"/>
    <n v="3.48"/>
    <n v="90.5"/>
  </r>
  <r>
    <s v="8daab2245ebdc277c51098d01c5ad8ef"/>
    <x v="0"/>
    <n v="16"/>
    <n v="16"/>
    <n v="1888.64"/>
    <n v="4.63"/>
    <n v="100"/>
  </r>
  <r>
    <s v="77fccaae319668a8ab6cd0fd16aec48c"/>
    <x v="2"/>
    <n v="11"/>
    <n v="12"/>
    <n v="1888.44"/>
    <n v="4.33"/>
    <n v="100"/>
  </r>
  <r>
    <s v="8a1ff5c35f6595a73fef4c7b96e4908a"/>
    <x v="4"/>
    <n v="2"/>
    <n v="2"/>
    <n v="1882.8"/>
    <n v="5"/>
    <n v="100"/>
  </r>
  <r>
    <s v="392e0502231ae2f8b29994ef6398cd77"/>
    <x v="0"/>
    <n v="17"/>
    <n v="17"/>
    <n v="1882.79"/>
    <n v="4.3499999999999996"/>
    <n v="88.2"/>
  </r>
  <r>
    <s v="659e8466eb3ff1b0e8740d74fb7bbedd"/>
    <x v="1"/>
    <n v="11"/>
    <n v="14"/>
    <n v="1880"/>
    <n v="4.5"/>
    <n v="100"/>
  </r>
  <r>
    <s v="af3ef48d0e13835e529c29ac573c63e5"/>
    <x v="0"/>
    <n v="21"/>
    <n v="21"/>
    <n v="1873.13"/>
    <n v="3.76"/>
    <n v="95.2"/>
  </r>
  <r>
    <s v="5075aaa8404020ae6aa8bf4792099b41"/>
    <x v="3"/>
    <n v="10"/>
    <n v="15"/>
    <n v="1872.15"/>
    <n v="4.13"/>
    <n v="100"/>
  </r>
  <r>
    <s v="5f67c6082caacb26e431a7b17940cece"/>
    <x v="4"/>
    <n v="13"/>
    <n v="14"/>
    <n v="1871.03"/>
    <n v="3.57"/>
    <n v="78.599999999999994"/>
  </r>
  <r>
    <s v="866558b3bccef2dbc6d29a2b5995016f"/>
    <x v="4"/>
    <n v="5"/>
    <n v="6"/>
    <n v="1870.75"/>
    <n v="4.67"/>
    <n v="100"/>
  </r>
  <r>
    <s v="ec4608a1f76453166bb312b2968aeaf4"/>
    <x v="0"/>
    <n v="17"/>
    <n v="29"/>
    <n v="1863.36"/>
    <n v="3.03"/>
    <n v="86.2"/>
  </r>
  <r>
    <s v="b33aaadd1a8891d2dfef0c4c3bdf0371"/>
    <x v="0"/>
    <n v="16"/>
    <n v="17"/>
    <n v="1863.04"/>
    <n v="3.76"/>
    <n v="88.2"/>
  </r>
  <r>
    <s v="0887a9f087bcd5d9f6642b52f897fc6c"/>
    <x v="0"/>
    <n v="12"/>
    <n v="12"/>
    <n v="1862.35"/>
    <n v="4.42"/>
    <n v="91.7"/>
  </r>
  <r>
    <s v="06bb3a2fe5e7b7a845b13e8fb91bd944"/>
    <x v="3"/>
    <n v="17"/>
    <n v="18"/>
    <n v="1862.33"/>
    <n v="4.6100000000000003"/>
    <n v="100"/>
  </r>
  <r>
    <s v="7a2d2949aea47fab95fd98d6c9f618b1"/>
    <x v="4"/>
    <n v="11"/>
    <n v="12"/>
    <n v="1850.23"/>
    <n v="4.25"/>
    <n v="100"/>
  </r>
  <r>
    <s v="3771c85bac139d2344864ede5d9341e3"/>
    <x v="0"/>
    <n v="26"/>
    <n v="30"/>
    <n v="1842.26"/>
    <n v="3.57"/>
    <n v="86.7"/>
  </r>
  <r>
    <s v="d4e12e7884759a14fa0f5f896c791cae"/>
    <x v="0"/>
    <n v="29"/>
    <n v="32"/>
    <n v="1839.67"/>
    <n v="4.63"/>
    <n v="93.8"/>
  </r>
  <r>
    <s v="f918546be4bec7104d117789ba758b2b"/>
    <x v="0"/>
    <n v="20"/>
    <n v="23"/>
    <n v="1830.15"/>
    <n v="3.83"/>
    <n v="87"/>
  </r>
  <r>
    <s v="41b86b552e54e3a7009596125aa8b167"/>
    <x v="0"/>
    <n v="10"/>
    <n v="11"/>
    <n v="1829.91"/>
    <n v="4.3600000000000003"/>
    <n v="100"/>
  </r>
  <r>
    <s v="bafc5aa11e413978be29040f51342e70"/>
    <x v="3"/>
    <n v="9"/>
    <n v="9"/>
    <n v="1829.47"/>
    <n v="3.78"/>
    <n v="88.9"/>
  </r>
  <r>
    <s v="f3c38ab652836d21de61fb8314b69182"/>
    <x v="0"/>
    <n v="15"/>
    <n v="15"/>
    <n v="1828.59"/>
    <n v="4.2699999999999996"/>
    <n v="100"/>
  </r>
  <r>
    <s v="4bf658053d453036c70976bccb2c31b2"/>
    <x v="0"/>
    <n v="2"/>
    <n v="2"/>
    <n v="1824.56"/>
    <n v="4.5"/>
    <n v="100"/>
  </r>
  <r>
    <s v="1660ad786c27fd935378b6192a90b417"/>
    <x v="0"/>
    <n v="12"/>
    <n v="13"/>
    <n v="1818.28"/>
    <n v="4.62"/>
    <n v="92.3"/>
  </r>
  <r>
    <s v="cbf09e831b0c11f6f23ffb51004db972"/>
    <x v="0"/>
    <n v="10"/>
    <n v="10"/>
    <n v="1815.4"/>
    <n v="4.4000000000000004"/>
    <n v="100"/>
  </r>
  <r>
    <s v="138dbe45fc62f1e244378131a6801526"/>
    <x v="0"/>
    <n v="49"/>
    <n v="58"/>
    <n v="1814.8"/>
    <n v="3.98"/>
    <n v="98.3"/>
  </r>
  <r>
    <s v="e256a62e0ac58c0edfba09966142d561"/>
    <x v="4"/>
    <n v="12"/>
    <n v="14"/>
    <n v="1809.55"/>
    <n v="4.5"/>
    <n v="100"/>
  </r>
  <r>
    <s v="081acf3de680d554796c9cf041be7bc2"/>
    <x v="3"/>
    <n v="4"/>
    <n v="8"/>
    <n v="1802.8"/>
    <n v="4.13"/>
    <n v="87.5"/>
  </r>
  <r>
    <s v="97512d3fc193b2d1dfcdba0f9d1f0f8a"/>
    <x v="0"/>
    <n v="12"/>
    <n v="13"/>
    <n v="1800.42"/>
    <n v="4.3099999999999996"/>
    <n v="92.3"/>
  </r>
  <r>
    <s v="53b0300ca793f9834cd69c0678d35ee8"/>
    <x v="0"/>
    <n v="5"/>
    <n v="10"/>
    <n v="1799.46"/>
    <n v="5"/>
    <n v="100"/>
  </r>
  <r>
    <s v="d354c38a7182125a748cb10474fe963b"/>
    <x v="2"/>
    <n v="17"/>
    <n v="19"/>
    <n v="1793.71"/>
    <n v="4.3899999999999997"/>
    <n v="94.7"/>
  </r>
  <r>
    <s v="a23266650e7c84bb93fbbba502137478"/>
    <x v="8"/>
    <n v="11"/>
    <n v="16"/>
    <n v="1791.44"/>
    <n v="3.25"/>
    <n v="100"/>
  </r>
  <r>
    <s v="cb810bd318f51b3dc3c753944d61a1fa"/>
    <x v="2"/>
    <n v="1"/>
    <n v="1"/>
    <n v="1789.02"/>
    <n v="4"/>
    <n v="100"/>
  </r>
  <r>
    <s v="244b04680fdbded0acf5aebd9c92b44a"/>
    <x v="0"/>
    <n v="2"/>
    <n v="2"/>
    <n v="1788.79"/>
    <n v="1"/>
    <n v="50"/>
  </r>
  <r>
    <s v="d8c7ba53e7e38711eaef8c2849d6d2e1"/>
    <x v="4"/>
    <n v="22"/>
    <n v="22"/>
    <n v="1788.34"/>
    <n v="4.5"/>
    <n v="100"/>
  </r>
  <r>
    <s v="817f85dbb65aa3e70831d90fe75cdf89"/>
    <x v="0"/>
    <n v="11"/>
    <n v="11"/>
    <n v="1783.89"/>
    <n v="4.55"/>
    <n v="100"/>
  </r>
  <r>
    <s v="01fd077212124329bac32490e8ef80d9"/>
    <x v="0"/>
    <n v="31"/>
    <n v="39"/>
    <n v="1783.36"/>
    <n v="4.3099999999999996"/>
    <n v="97.4"/>
  </r>
  <r>
    <s v="6806dad1da97bfb5a9038eac6881f706"/>
    <x v="4"/>
    <n v="10"/>
    <n v="14"/>
    <n v="1783.26"/>
    <n v="3.96"/>
    <n v="100"/>
  </r>
  <r>
    <s v="d2e753bb80b7d4faa77483ed00edc8ca"/>
    <x v="1"/>
    <n v="14"/>
    <n v="15"/>
    <n v="1774.94"/>
    <n v="3.7"/>
    <n v="93.3"/>
  </r>
  <r>
    <s v="02c988090b766852e088c69d7fb3b551"/>
    <x v="0"/>
    <n v="12"/>
    <n v="16"/>
    <n v="1770.94"/>
    <n v="4.6900000000000004"/>
    <n v="100"/>
  </r>
  <r>
    <s v="78a4d36f65a019172c6154468831a69f"/>
    <x v="0"/>
    <n v="7"/>
    <n v="7"/>
    <n v="1768.9"/>
    <n v="4.29"/>
    <n v="85.7"/>
  </r>
  <r>
    <s v="6b1c4d4d9ccf0be3d8544eb0e71e5318"/>
    <x v="8"/>
    <n v="1"/>
    <n v="1"/>
    <n v="1759.04"/>
    <n v="5"/>
    <n v="100"/>
  </r>
  <r>
    <s v="83b08de96980757220871b31bf6cffca"/>
    <x v="2"/>
    <n v="5"/>
    <n v="7"/>
    <n v="1758.38"/>
    <n v="4.29"/>
    <n v="85.7"/>
  </r>
  <r>
    <s v="b0f2a6122a90a93eb03e68653dd960e3"/>
    <x v="4"/>
    <n v="6"/>
    <n v="7"/>
    <n v="1758.28"/>
    <n v="4.8600000000000003"/>
    <n v="100"/>
  </r>
  <r>
    <s v="0eaa7e33d73809f1f925f7d07c506cbd"/>
    <x v="0"/>
    <n v="15"/>
    <n v="15"/>
    <n v="1746.9"/>
    <n v="4.71"/>
    <n v="100"/>
  </r>
  <r>
    <s v="7813ea3ebd9411dc600b4dd01f7a97b9"/>
    <x v="0"/>
    <n v="9"/>
    <n v="9"/>
    <n v="1745.99"/>
    <n v="3.89"/>
    <n v="88.9"/>
  </r>
  <r>
    <s v="5e105f5c9f63f5f1fd75d6cb942e55b1"/>
    <x v="0"/>
    <n v="8"/>
    <n v="8"/>
    <n v="1745.73"/>
    <n v="4.5"/>
    <n v="100"/>
  </r>
  <r>
    <s v="5f3ae9136c875522250f8184f253413a"/>
    <x v="0"/>
    <n v="42"/>
    <n v="45"/>
    <n v="1739.77"/>
    <n v="4.58"/>
    <n v="95.6"/>
  </r>
  <r>
    <s v="7e26c750b4cb9f6766f58265ff9ebe95"/>
    <x v="3"/>
    <n v="23"/>
    <n v="27"/>
    <n v="1733.18"/>
    <n v="4.41"/>
    <n v="100"/>
  </r>
  <r>
    <s v="2709af9587499e95e803a6498a5a56e9"/>
    <x v="0"/>
    <n v="25"/>
    <n v="46"/>
    <n v="1730.29"/>
    <n v="2.6"/>
    <n v="50"/>
  </r>
  <r>
    <s v="d4ffeb15b67e81ff9af2b4252d99fb7e"/>
    <x v="0"/>
    <n v="11"/>
    <n v="12"/>
    <n v="1724.81"/>
    <n v="4.3"/>
    <n v="100"/>
  </r>
  <r>
    <s v="2e1a7d075abe038c1b2743005fe42ff1"/>
    <x v="0"/>
    <n v="18"/>
    <n v="22"/>
    <n v="1711.69"/>
    <n v="3.82"/>
    <n v="72.7"/>
  </r>
  <r>
    <s v="b6e1504972665f739dec4facb9943775"/>
    <x v="0"/>
    <n v="14"/>
    <n v="14"/>
    <n v="1710.37"/>
    <n v="4.3600000000000003"/>
    <n v="92.9"/>
  </r>
  <r>
    <s v="70f84699be677ec988d1fa824aef7d90"/>
    <x v="3"/>
    <n v="5"/>
    <n v="5"/>
    <n v="1704.44"/>
    <n v="4.5999999999999996"/>
    <n v="100"/>
  </r>
  <r>
    <s v="3a490ba60afa30ece0e7d50cfe74a4f0"/>
    <x v="3"/>
    <n v="8"/>
    <n v="8"/>
    <n v="1695.07"/>
    <n v="4.63"/>
    <n v="100"/>
  </r>
  <r>
    <s v="a414555ce331b8c8aea4a9cb8395194d"/>
    <x v="0"/>
    <n v="7"/>
    <n v="8"/>
    <n v="1693.59"/>
    <n v="3.57"/>
    <n v="100"/>
  </r>
  <r>
    <s v="a1040efe9ff4a6f93c28b0499eada8f5"/>
    <x v="0"/>
    <n v="1"/>
    <n v="1"/>
    <n v="1693.31"/>
    <n v="5"/>
    <n v="100"/>
  </r>
  <r>
    <s v="427165bf50f8ca07efc7bdc2bfcf1688"/>
    <x v="0"/>
    <n v="5"/>
    <n v="5"/>
    <n v="1692.9"/>
    <n v="3.2"/>
    <n v="40"/>
  </r>
  <r>
    <s v="671585f5a2af58b6e276bc01003c0d2b"/>
    <x v="4"/>
    <n v="27"/>
    <n v="27"/>
    <n v="1692.11"/>
    <n v="4.7"/>
    <n v="100"/>
  </r>
  <r>
    <s v="b8114f2f589a6804810f04f99b36b498"/>
    <x v="0"/>
    <n v="8"/>
    <n v="11"/>
    <n v="1692.03"/>
    <n v="4.7300000000000004"/>
    <n v="100"/>
  </r>
  <r>
    <s v="f5f1f2c5f923f36ad79ea1d07185ddc9"/>
    <x v="0"/>
    <n v="10"/>
    <n v="11"/>
    <n v="1691.5"/>
    <n v="3.45"/>
    <n v="90.9"/>
  </r>
  <r>
    <s v="4d232b78ab7ef10393dc3807d827bc0d"/>
    <x v="3"/>
    <n v="5"/>
    <n v="5"/>
    <n v="1689.99"/>
    <n v="4.4000000000000004"/>
    <n v="100"/>
  </r>
  <r>
    <s v="9a03a4e9eb0b947652fae4f6121a3f5e"/>
    <x v="0"/>
    <n v="7"/>
    <n v="7"/>
    <n v="1682.22"/>
    <n v="3.86"/>
    <n v="100"/>
  </r>
  <r>
    <s v="b9ca8e8baa5d4aa038394a700f63e69f"/>
    <x v="0"/>
    <n v="14"/>
    <n v="14"/>
    <n v="1677.95"/>
    <n v="4.21"/>
    <n v="92.9"/>
  </r>
  <r>
    <s v="8ff1a9df749e454105c55cda13e79143"/>
    <x v="0"/>
    <n v="13"/>
    <n v="14"/>
    <n v="1677.81"/>
    <n v="3.73"/>
    <n v="100"/>
  </r>
  <r>
    <s v="9f50216bfd01913736a55a11b55ea842"/>
    <x v="0"/>
    <n v="17"/>
    <n v="19"/>
    <n v="1671.1"/>
    <n v="4.47"/>
    <n v="84.2"/>
  </r>
  <r>
    <s v="4ba52dfeba874da5b9ee7b17c7494f04"/>
    <x v="0"/>
    <n v="11"/>
    <n v="11"/>
    <n v="1667.91"/>
    <n v="4.3600000000000003"/>
    <n v="90.9"/>
  </r>
  <r>
    <s v="542917da124346b47ea1ac79a93ce454"/>
    <x v="4"/>
    <n v="20"/>
    <n v="20"/>
    <n v="1667.08"/>
    <n v="4.1500000000000004"/>
    <n v="95"/>
  </r>
  <r>
    <s v="ec933281fb017b5020d06df29c3f77e8"/>
    <x v="0"/>
    <n v="8"/>
    <n v="8"/>
    <n v="1662.85"/>
    <n v="5"/>
    <n v="100"/>
  </r>
  <r>
    <s v="c5f7e746b7e6d07def6c0dae9903279b"/>
    <x v="4"/>
    <n v="10"/>
    <n v="11"/>
    <n v="1658.92"/>
    <n v="4.45"/>
    <n v="100"/>
  </r>
  <r>
    <s v="714b9a1332840f257b49f476bea4e341"/>
    <x v="0"/>
    <n v="6"/>
    <n v="6"/>
    <n v="1658.09"/>
    <n v="3.33"/>
    <n v="66.7"/>
  </r>
  <r>
    <s v="5145090ab595c0d0b8557199f5701fbf"/>
    <x v="4"/>
    <n v="4"/>
    <n v="4"/>
    <n v="1657.45"/>
    <n v="4.25"/>
    <n v="100"/>
  </r>
  <r>
    <s v="42ef3192a9ff87a22d1867b74b3ee205"/>
    <x v="0"/>
    <n v="23"/>
    <n v="23"/>
    <n v="1655.97"/>
    <n v="4.6500000000000004"/>
    <n v="100"/>
  </r>
  <r>
    <s v="f5f46307a4d15880ca14fab4ad9dfc9b"/>
    <x v="6"/>
    <n v="9"/>
    <n v="10"/>
    <n v="1654.32"/>
    <n v="4"/>
    <n v="90"/>
  </r>
  <r>
    <s v="134285d1f41da5c13a756ee8142c8a4e"/>
    <x v="0"/>
    <n v="3"/>
    <n v="4"/>
    <n v="1653.63"/>
    <n v="2.75"/>
    <n v="100"/>
  </r>
  <r>
    <s v="1b8b75e227c9a9c100d0c210fb6176ce"/>
    <x v="0"/>
    <n v="15"/>
    <n v="15"/>
    <n v="1648.49"/>
    <n v="3.93"/>
    <n v="93.3"/>
  </r>
  <r>
    <s v="01bcc9d254a0143f0ce9791b960b2a47"/>
    <x v="12"/>
    <n v="10"/>
    <n v="10"/>
    <n v="1644.69"/>
    <n v="4.4000000000000004"/>
    <n v="100"/>
  </r>
  <r>
    <s v="b9a03475e6447e631b6799ec8274800f"/>
    <x v="4"/>
    <n v="10"/>
    <n v="11"/>
    <n v="1644.08"/>
    <n v="4.2699999999999996"/>
    <n v="100"/>
  </r>
  <r>
    <s v="e7f3bf1ecd8526eb7f3b18059e6716e5"/>
    <x v="0"/>
    <n v="17"/>
    <n v="18"/>
    <n v="1642.81"/>
    <n v="4.4400000000000004"/>
    <n v="100"/>
  </r>
  <r>
    <s v="921323538c9f1c4e816f2720eac02bea"/>
    <x v="0"/>
    <n v="15"/>
    <n v="17"/>
    <n v="1642.2"/>
    <n v="4"/>
    <n v="82.4"/>
  </r>
  <r>
    <s v="1dd33b8119b3cb1056ed5dc88cd0aaf4"/>
    <x v="0"/>
    <n v="8"/>
    <n v="8"/>
    <n v="1641.74"/>
    <n v="3.75"/>
    <n v="87.5"/>
  </r>
  <r>
    <s v="850857dfac77488c307e2b1cbd84ab5a"/>
    <x v="4"/>
    <n v="1"/>
    <n v="1"/>
    <n v="1638.72"/>
    <n v="5"/>
    <n v="100"/>
  </r>
  <r>
    <s v="47648caee88ccfe951fbb27fbf7b4cbe"/>
    <x v="0"/>
    <n v="3"/>
    <n v="3"/>
    <n v="1632.99"/>
    <n v="3.67"/>
    <n v="66.7"/>
  </r>
  <r>
    <s v="81336a0f57a33776419727a300249e90"/>
    <x v="0"/>
    <n v="15"/>
    <n v="18"/>
    <n v="1629.7"/>
    <n v="3.83"/>
    <n v="83.3"/>
  </r>
  <r>
    <s v="20cb7c2fde3e5bf10f0bbe7394e1c6a9"/>
    <x v="4"/>
    <n v="31"/>
    <n v="50"/>
    <n v="1625.15"/>
    <n v="3.9"/>
    <n v="90"/>
  </r>
  <r>
    <s v="02dcd3e8e25bee036e32512bcf175493"/>
    <x v="3"/>
    <n v="13"/>
    <n v="15"/>
    <n v="1623.49"/>
    <n v="3.93"/>
    <n v="66.7"/>
  </r>
  <r>
    <s v="2dcf93836ae3ce0d7c93e2f10876467a"/>
    <x v="0"/>
    <n v="9"/>
    <n v="12"/>
    <n v="1622.44"/>
    <n v="4.17"/>
    <n v="83.3"/>
  </r>
  <r>
    <s v="49cdc90518a4f82676b38b3c1aa43ff6"/>
    <x v="0"/>
    <n v="5"/>
    <n v="5"/>
    <n v="1622.11"/>
    <n v="3.8"/>
    <n v="100"/>
  </r>
  <r>
    <s v="49067458c68f7701fd334ce326accbe0"/>
    <x v="3"/>
    <n v="17"/>
    <n v="37"/>
    <n v="1621.5"/>
    <n v="3.32"/>
    <n v="100"/>
  </r>
  <r>
    <s v="a5259c149128e82c9d6d46e0c1c812bb"/>
    <x v="17"/>
    <n v="8"/>
    <n v="8"/>
    <n v="1621.13"/>
    <n v="3.88"/>
    <n v="100"/>
  </r>
  <r>
    <s v="57c764b4a836300be881e2ff86e449f9"/>
    <x v="0"/>
    <n v="28"/>
    <n v="29"/>
    <n v="1613.49"/>
    <n v="4.25"/>
    <n v="86.2"/>
  </r>
  <r>
    <s v="9da1ca0bef29ee170e541927a5aeabdc"/>
    <x v="0"/>
    <n v="6"/>
    <n v="6"/>
    <n v="1612.03"/>
    <n v="3"/>
    <n v="83.3"/>
  </r>
  <r>
    <s v="9b522ba7eae9e1d04082f267144583cc"/>
    <x v="0"/>
    <n v="3"/>
    <n v="5"/>
    <n v="1611.55"/>
    <n v="4.8"/>
    <n v="80"/>
  </r>
  <r>
    <s v="186cdd1b2df32caa72cfb410bba768d3"/>
    <x v="6"/>
    <n v="6"/>
    <n v="6"/>
    <n v="1609.73"/>
    <n v="5"/>
    <n v="100"/>
  </r>
  <r>
    <s v="88cf19ec1fc2c58f161aee259d57142c"/>
    <x v="0"/>
    <n v="14"/>
    <n v="14"/>
    <n v="1607.68"/>
    <n v="4.5"/>
    <n v="100"/>
  </r>
  <r>
    <s v="985c92cc412091f8529c12d7f23d3fef"/>
    <x v="3"/>
    <n v="12"/>
    <n v="12"/>
    <n v="1606.63"/>
    <n v="4.75"/>
    <n v="100"/>
  </r>
  <r>
    <s v="863d2ebcd347ce4922de7a0f9a5581d6"/>
    <x v="2"/>
    <n v="17"/>
    <n v="18"/>
    <n v="1605.58"/>
    <n v="4.1100000000000003"/>
    <n v="88.9"/>
  </r>
  <r>
    <s v="f08c008c8a8d31417763738a1788a2a8"/>
    <x v="4"/>
    <n v="20"/>
    <n v="21"/>
    <n v="1604"/>
    <n v="3.3"/>
    <n v="85.7"/>
  </r>
  <r>
    <s v="8185694b58b2ba6de20fd41ae608bbea"/>
    <x v="0"/>
    <n v="8"/>
    <n v="8"/>
    <n v="1602.57"/>
    <n v="4.5"/>
    <n v="100"/>
  </r>
  <r>
    <s v="a7c88262832dfc683781d6a421edefae"/>
    <x v="0"/>
    <n v="5"/>
    <n v="5"/>
    <n v="1602.42"/>
    <n v="4.2"/>
    <n v="100"/>
  </r>
  <r>
    <s v="36890be00bbfc1cdb9a4a38a6af05a69"/>
    <x v="0"/>
    <n v="13"/>
    <n v="13"/>
    <n v="1600.88"/>
    <n v="4.2300000000000004"/>
    <n v="84.6"/>
  </r>
  <r>
    <s v="adcf50477d6a1f5d91bb9d54c4903cb5"/>
    <x v="3"/>
    <n v="16"/>
    <n v="31"/>
    <n v="1597.63"/>
    <n v="3.35"/>
    <n v="83.9"/>
  </r>
  <r>
    <s v="11fb6f6d341adbe19e81733701704635"/>
    <x v="0"/>
    <n v="3"/>
    <n v="3"/>
    <n v="1596.66"/>
    <n v="5"/>
    <n v="100"/>
  </r>
  <r>
    <s v="6426d21aca402a131fc0a5d0960a3c90"/>
    <x v="0"/>
    <n v="23"/>
    <n v="23"/>
    <n v="1593.82"/>
    <n v="4.17"/>
    <n v="100"/>
  </r>
  <r>
    <s v="5a425cc503b39b262a847fd6212bf53b"/>
    <x v="4"/>
    <n v="14"/>
    <n v="14"/>
    <n v="1591.88"/>
    <n v="4.46"/>
    <n v="92.9"/>
  </r>
  <r>
    <s v="6eb94e1466490d327a09abf8f3552a50"/>
    <x v="0"/>
    <n v="9"/>
    <n v="9"/>
    <n v="1587.22"/>
    <n v="4.75"/>
    <n v="100"/>
  </r>
  <r>
    <s v="0aea4c6ae1505b3228ddf3dd7822ee5b"/>
    <x v="0"/>
    <n v="8"/>
    <n v="8"/>
    <n v="1579.66"/>
    <n v="3.88"/>
    <n v="75"/>
  </r>
  <r>
    <s v="141440cad9341e553f8401c574a2aa38"/>
    <x v="4"/>
    <n v="11"/>
    <n v="12"/>
    <n v="1579"/>
    <n v="4.17"/>
    <n v="100"/>
  </r>
  <r>
    <s v="fe701d88b67eaca109dffd464d1be9f9"/>
    <x v="2"/>
    <n v="10"/>
    <n v="10"/>
    <n v="1578.02"/>
    <n v="4.3"/>
    <n v="90"/>
  </r>
  <r>
    <s v="431050a06a317f2b38168dec3dcd2b46"/>
    <x v="0"/>
    <n v="10"/>
    <n v="10"/>
    <n v="1576.15"/>
    <n v="4.5"/>
    <n v="100"/>
  </r>
  <r>
    <s v="dace965ca58120f92f8d742a9fa1864b"/>
    <x v="0"/>
    <n v="8"/>
    <n v="8"/>
    <n v="1573.77"/>
    <n v="4.63"/>
    <n v="100"/>
  </r>
  <r>
    <s v="5bf397d04035b5f45cc41e82ec106803"/>
    <x v="0"/>
    <n v="3"/>
    <n v="4"/>
    <n v="1572.28"/>
    <n v="4.25"/>
    <n v="100"/>
  </r>
  <r>
    <s v="25e47381a6c510ddeb36084e33b89f0c"/>
    <x v="0"/>
    <n v="16"/>
    <n v="17"/>
    <n v="1571.71"/>
    <n v="4.0599999999999996"/>
    <n v="100"/>
  </r>
  <r>
    <s v="b1aaae6b66ad3c40f54b389d7ea4bee0"/>
    <x v="0"/>
    <n v="15"/>
    <n v="17"/>
    <n v="1569.24"/>
    <n v="4.47"/>
    <n v="100"/>
  </r>
  <r>
    <s v="0ad80de75c811326389cfb1daba7d45e"/>
    <x v="2"/>
    <n v="6"/>
    <n v="6"/>
    <n v="1564.72"/>
    <n v="5"/>
    <n v="100"/>
  </r>
  <r>
    <s v="52f9db5cfb423382a2fa5c9e39303202"/>
    <x v="0"/>
    <n v="21"/>
    <n v="22"/>
    <n v="1564.53"/>
    <n v="4.32"/>
    <n v="100"/>
  </r>
  <r>
    <s v="a13580f0e8f782b7a543885a0ef99f08"/>
    <x v="2"/>
    <n v="10"/>
    <n v="10"/>
    <n v="1563.68"/>
    <n v="4.4000000000000004"/>
    <n v="80"/>
  </r>
  <r>
    <s v="093805f8f2aeb63881444571e1f48f30"/>
    <x v="0"/>
    <n v="22"/>
    <n v="27"/>
    <n v="1559.73"/>
    <n v="3.81"/>
    <n v="96.3"/>
  </r>
  <r>
    <s v="c8c1bea22194a4eefa2dc9a9fa89f536"/>
    <x v="6"/>
    <n v="7"/>
    <n v="13"/>
    <n v="1558.73"/>
    <n v="5"/>
    <n v="100"/>
  </r>
  <r>
    <s v="d101c6da914ae3d53f7bee42283f2fe2"/>
    <x v="0"/>
    <n v="13"/>
    <n v="16"/>
    <n v="1557.55"/>
    <n v="3.81"/>
    <n v="93.8"/>
  </r>
  <r>
    <s v="0afccdb8a34ee5c79f7c06faf2b4d56e"/>
    <x v="3"/>
    <n v="24"/>
    <n v="24"/>
    <n v="1557.09"/>
    <n v="4.09"/>
    <n v="91.7"/>
  </r>
  <r>
    <s v="d7827b2af99326a03b0ed9c7a24db0d3"/>
    <x v="0"/>
    <n v="1"/>
    <n v="1"/>
    <n v="1556.7"/>
    <n v="5"/>
    <n v="100"/>
  </r>
  <r>
    <s v="f4a04f7be452aa3bb31760bf00055dd0"/>
    <x v="0"/>
    <n v="18"/>
    <n v="18"/>
    <n v="1553.95"/>
    <n v="4.67"/>
    <n v="100"/>
  </r>
  <r>
    <s v="fcf16b7a8697e559f0123190bb30177d"/>
    <x v="0"/>
    <n v="3"/>
    <n v="7"/>
    <n v="1552.57"/>
    <n v="3.14"/>
    <n v="42.9"/>
  </r>
  <r>
    <s v="0b0ddbc7b9d9584f442c7ac92b0ff6c9"/>
    <x v="0"/>
    <n v="3"/>
    <n v="3"/>
    <n v="1550.64"/>
    <n v="4.67"/>
    <n v="100"/>
  </r>
  <r>
    <s v="2646baaf662d4d92ac48f047e35db92d"/>
    <x v="0"/>
    <n v="15"/>
    <n v="18"/>
    <n v="1549.39"/>
    <n v="4.5599999999999996"/>
    <n v="94.4"/>
  </r>
  <r>
    <s v="e439f7176d763f92de325271111b2fd5"/>
    <x v="6"/>
    <n v="6"/>
    <n v="6"/>
    <n v="1547.7"/>
    <n v="5"/>
    <n v="100"/>
  </r>
  <r>
    <s v="1284de4ae8aa26997e748c851557cf0e"/>
    <x v="0"/>
    <n v="3"/>
    <n v="3"/>
    <n v="1546.84"/>
    <n v="2.67"/>
    <n v="100"/>
  </r>
  <r>
    <s v="7357b52d27cbaa90f81a96cbc1279396"/>
    <x v="3"/>
    <n v="12"/>
    <n v="12"/>
    <n v="1545.83"/>
    <n v="4.33"/>
    <n v="91.7"/>
  </r>
  <r>
    <s v="c794dab4928dd97beb41d05514441e86"/>
    <x v="0"/>
    <n v="16"/>
    <n v="16"/>
    <n v="1544.59"/>
    <n v="4.38"/>
    <n v="87.5"/>
  </r>
  <r>
    <s v="2d518637f53161b973e01f56ea4bb88e"/>
    <x v="0"/>
    <n v="13"/>
    <n v="13"/>
    <n v="1539.7"/>
    <n v="4.92"/>
    <n v="100"/>
  </r>
  <r>
    <s v="113e3a788b935f48aad63e1c41dac1bd"/>
    <x v="0"/>
    <n v="39"/>
    <n v="48"/>
    <n v="1533.95"/>
    <n v="4.4000000000000004"/>
    <n v="95.8"/>
  </r>
  <r>
    <s v="01ed254b9ff8407dfb9d99ba1e17d923"/>
    <x v="0"/>
    <n v="5"/>
    <n v="5"/>
    <n v="1533.71"/>
    <n v="5"/>
    <n v="100"/>
  </r>
  <r>
    <s v="8e2b3afb420011ef0c88c9d5f11ea526"/>
    <x v="0"/>
    <n v="11"/>
    <n v="11"/>
    <n v="1532.43"/>
    <n v="4.2699999999999996"/>
    <n v="90.9"/>
  </r>
  <r>
    <s v="1caf283236cd69af44cbc09a0a1e7d32"/>
    <x v="2"/>
    <n v="33"/>
    <n v="37"/>
    <n v="1530.25"/>
    <n v="4.54"/>
    <n v="89.2"/>
  </r>
  <r>
    <s v="b43d8b707f887a30f4675391098354a0"/>
    <x v="0"/>
    <n v="3"/>
    <n v="4"/>
    <n v="1526.76"/>
    <n v="2.5"/>
    <n v="75"/>
  </r>
  <r>
    <s v="3f8034bfc6b8b4135534975d49f04c63"/>
    <x v="4"/>
    <n v="11"/>
    <n v="14"/>
    <n v="1522.93"/>
    <n v="3.36"/>
    <n v="100"/>
  </r>
  <r>
    <s v="bb135baca94c82fcb731335ad5b04a03"/>
    <x v="0"/>
    <n v="18"/>
    <n v="38"/>
    <n v="1522.68"/>
    <n v="2.66"/>
    <n v="100"/>
  </r>
  <r>
    <s v="128f9bfbe4c7d5185033914b1de3d39a"/>
    <x v="0"/>
    <n v="13"/>
    <n v="15"/>
    <n v="1519.37"/>
    <n v="4.8"/>
    <n v="93.3"/>
  </r>
  <r>
    <s v="c35672b10ad50968f567ea3f4b91e877"/>
    <x v="2"/>
    <n v="18"/>
    <n v="22"/>
    <n v="1515.35"/>
    <n v="4.45"/>
    <n v="95.5"/>
  </r>
  <r>
    <s v="2bd05d410a8fd26dc4184a15f4f2f588"/>
    <x v="3"/>
    <n v="6"/>
    <n v="7"/>
    <n v="1515.27"/>
    <n v="5"/>
    <n v="100"/>
  </r>
  <r>
    <s v="0bebbb2cea103a4a020c95d43fd7d754"/>
    <x v="0"/>
    <n v="9"/>
    <n v="9"/>
    <n v="1514.34"/>
    <n v="4.8899999999999997"/>
    <n v="100"/>
  </r>
  <r>
    <s v="4e06067cc08b3f41d837768d392c3ee3"/>
    <x v="3"/>
    <n v="31"/>
    <n v="46"/>
    <n v="1514.25"/>
    <n v="4.17"/>
    <n v="95.7"/>
  </r>
  <r>
    <s v="1464afc72f696af775557a821c2e253f"/>
    <x v="2"/>
    <n v="29"/>
    <n v="30"/>
    <n v="1513.78"/>
    <n v="4.17"/>
    <n v="96.7"/>
  </r>
  <r>
    <s v="c7b7db6c8f3c64a7cc1afa634db21d50"/>
    <x v="0"/>
    <n v="1"/>
    <n v="1"/>
    <n v="1511.86"/>
    <n v="1"/>
    <n v="0"/>
  </r>
  <r>
    <s v="7a425d299613df3e613bcf9d2eaf5c49"/>
    <x v="2"/>
    <n v="18"/>
    <n v="18"/>
    <n v="1505.47"/>
    <n v="4.1100000000000003"/>
    <n v="94.4"/>
  </r>
  <r>
    <s v="da7039f29f90ce5b4846ffc0fcc93beb"/>
    <x v="0"/>
    <n v="17"/>
    <n v="18"/>
    <n v="1503.55"/>
    <n v="4.5599999999999996"/>
    <n v="94.4"/>
  </r>
  <r>
    <s v="1ca4bdb0cd7fc48e949bac066188ed26"/>
    <x v="3"/>
    <n v="3"/>
    <n v="3"/>
    <n v="1503.45"/>
    <n v="5"/>
    <n v="66.7"/>
  </r>
  <r>
    <s v="8629c241b3622ac12cd4118afdc8d394"/>
    <x v="0"/>
    <n v="13"/>
    <n v="13"/>
    <n v="1502.02"/>
    <n v="4.08"/>
    <n v="92.3"/>
  </r>
  <r>
    <s v="9a1aea68d3efa00862ec88c0768037d0"/>
    <x v="0"/>
    <n v="7"/>
    <n v="8"/>
    <n v="1501.71"/>
    <n v="4.38"/>
    <n v="100"/>
  </r>
  <r>
    <s v="b8578d2d823bd8e251f6fdd02b40902d"/>
    <x v="6"/>
    <n v="9"/>
    <n v="9"/>
    <n v="1499.6"/>
    <n v="4.4400000000000004"/>
    <n v="100"/>
  </r>
  <r>
    <s v="3092c0b297aacfb4bb6e056ebe13b9b8"/>
    <x v="0"/>
    <n v="16"/>
    <n v="17"/>
    <n v="1498.28"/>
    <n v="4.18"/>
    <n v="100"/>
  </r>
  <r>
    <s v="51ed72984a04e5dd35c2b27e77179038"/>
    <x v="0"/>
    <n v="7"/>
    <n v="7"/>
    <n v="1493.23"/>
    <n v="3.57"/>
    <n v="85.7"/>
  </r>
  <r>
    <s v="c3ee2331a724e6fc02c4b698b57a73f3"/>
    <x v="0"/>
    <n v="2"/>
    <n v="3"/>
    <n v="1487.88"/>
    <n v="3"/>
    <n v="100"/>
  </r>
  <r>
    <s v="f205b1a3ca9a34e0f8a228bae6e4c7b3"/>
    <x v="8"/>
    <n v="8"/>
    <n v="8"/>
    <n v="1484.9"/>
    <n v="4.88"/>
    <n v="100"/>
  </r>
  <r>
    <s v="1dcfa3835714681d4ba4a93bc1e0fd41"/>
    <x v="0"/>
    <n v="12"/>
    <n v="14"/>
    <n v="1483.48"/>
    <n v="4.08"/>
    <n v="100"/>
  </r>
  <r>
    <s v="5151aea44289d6c6b090ee31c2132508"/>
    <x v="0"/>
    <n v="7"/>
    <n v="7"/>
    <n v="1482.47"/>
    <n v="1.83"/>
    <n v="100"/>
  </r>
  <r>
    <s v="402916f742e5c740cc751493d9cf5053"/>
    <x v="3"/>
    <n v="9"/>
    <n v="10"/>
    <n v="1478.43"/>
    <n v="4.7"/>
    <n v="100"/>
  </r>
  <r>
    <s v="d1c7fa84e48cfa21a0e595167c1c500e"/>
    <x v="8"/>
    <n v="12"/>
    <n v="12"/>
    <n v="1477.38"/>
    <n v="4.33"/>
    <n v="100"/>
  </r>
  <r>
    <s v="f1b854361f4e15d5851b494df66f22b2"/>
    <x v="2"/>
    <n v="3"/>
    <n v="4"/>
    <n v="1475.24"/>
    <n v="2.75"/>
    <n v="100"/>
  </r>
  <r>
    <s v="04843805947f0fc584fc1969b6e50fe7"/>
    <x v="8"/>
    <n v="1"/>
    <n v="2"/>
    <n v="1474.76"/>
    <n v="5"/>
    <n v="100"/>
  </r>
  <r>
    <s v="4eb61f060e7dcc1d5a80d806c35cc541"/>
    <x v="0"/>
    <n v="8"/>
    <n v="8"/>
    <n v="1466.12"/>
    <n v="3.88"/>
    <n v="100"/>
  </r>
  <r>
    <s v="6b89abe95848c850399130d149a39b63"/>
    <x v="12"/>
    <n v="8"/>
    <n v="8"/>
    <n v="1465.73"/>
    <n v="4.38"/>
    <n v="100"/>
  </r>
  <r>
    <s v="2f73e04d12cdf0c945ded66bb3fcf6c7"/>
    <x v="9"/>
    <n v="3"/>
    <n v="3"/>
    <n v="1460.85"/>
    <n v="3.33"/>
    <n v="100"/>
  </r>
  <r>
    <s v="2d378dbb39815785238c0139c7647fb7"/>
    <x v="6"/>
    <n v="2"/>
    <n v="2"/>
    <n v="1454.44"/>
    <n v="5"/>
    <n v="100"/>
  </r>
  <r>
    <s v="a478c7961d6a992065b24e63b366f90b"/>
    <x v="6"/>
    <n v="8"/>
    <n v="9"/>
    <n v="1451.56"/>
    <n v="4.8899999999999997"/>
    <n v="100"/>
  </r>
  <r>
    <s v="4736e9d642ef4257cd7622516931eb51"/>
    <x v="0"/>
    <n v="16"/>
    <n v="20"/>
    <n v="1449.77"/>
    <n v="4.1500000000000004"/>
    <n v="100"/>
  </r>
  <r>
    <s v="556a6409838156ea299c9d1f9e2dde43"/>
    <x v="4"/>
    <n v="4"/>
    <n v="4"/>
    <n v="1449.64"/>
    <n v="3.25"/>
    <n v="100"/>
  </r>
  <r>
    <s v="010543a62bd80aa422851e79a3bc7540"/>
    <x v="0"/>
    <n v="2"/>
    <n v="2"/>
    <n v="1447.95"/>
    <n v="4.5"/>
    <n v="100"/>
  </r>
  <r>
    <s v="091065b789659bc3cd9af9cb3a6253ff"/>
    <x v="8"/>
    <n v="2"/>
    <n v="2"/>
    <n v="1444.37"/>
    <n v="3.5"/>
    <n v="100"/>
  </r>
  <r>
    <s v="c273175f7c6c80fb02f051e2fc6d0d72"/>
    <x v="0"/>
    <n v="14"/>
    <n v="14"/>
    <n v="1443.45"/>
    <n v="3.79"/>
    <n v="92.9"/>
  </r>
  <r>
    <s v="9140bd1d9de28b197dce077bdd687438"/>
    <x v="0"/>
    <n v="6"/>
    <n v="8"/>
    <n v="1442.93"/>
    <n v="4.13"/>
    <n v="100"/>
  </r>
  <r>
    <s v="3faf68a3b0af94b10bac70d86077be49"/>
    <x v="0"/>
    <n v="7"/>
    <n v="7"/>
    <n v="1442.09"/>
    <n v="4.57"/>
    <n v="100"/>
  </r>
  <r>
    <s v="89c127985a8b130cfa45c1d36764017a"/>
    <x v="0"/>
    <n v="6"/>
    <n v="6"/>
    <n v="1441.69"/>
    <n v="3.4"/>
    <n v="100"/>
  </r>
  <r>
    <s v="5795aebfe331fbcd02a2c4b679fb7952"/>
    <x v="6"/>
    <n v="6"/>
    <n v="6"/>
    <n v="1436.09"/>
    <n v="3.83"/>
    <n v="100"/>
  </r>
  <r>
    <s v="7f40d06aa0b5f1aa4f41af8c0480e2ef"/>
    <x v="0"/>
    <n v="6"/>
    <n v="6"/>
    <n v="1435.62"/>
    <n v="4.83"/>
    <n v="100"/>
  </r>
  <r>
    <s v="491a5ada3aa1678414e990262c4bbdc1"/>
    <x v="0"/>
    <n v="1"/>
    <n v="1"/>
    <n v="1435.58"/>
    <n v="5"/>
    <n v="100"/>
  </r>
  <r>
    <s v="5ee7fd217d08dfe5d3e2f51f96a12c9a"/>
    <x v="0"/>
    <n v="9"/>
    <n v="9"/>
    <n v="1435.18"/>
    <n v="3.44"/>
    <n v="77.8"/>
  </r>
  <r>
    <s v="325f3178fb58e2a9778334621eecdbf9"/>
    <x v="0"/>
    <n v="36"/>
    <n v="46"/>
    <n v="1433.37"/>
    <n v="4.46"/>
    <n v="100"/>
  </r>
  <r>
    <s v="b566ab0ef88016e00422755e305103c6"/>
    <x v="3"/>
    <n v="5"/>
    <n v="5"/>
    <n v="1428.22"/>
    <n v="3.2"/>
    <n v="80"/>
  </r>
  <r>
    <s v="3fac58ce0ad699020c7944d53c41329c"/>
    <x v="0"/>
    <n v="10"/>
    <n v="16"/>
    <n v="1427.97"/>
    <n v="4.5599999999999996"/>
    <n v="100"/>
  </r>
  <r>
    <s v="334cab711dee080b079fa5779b584783"/>
    <x v="0"/>
    <n v="11"/>
    <n v="26"/>
    <n v="1421.37"/>
    <n v="4.96"/>
    <n v="100"/>
  </r>
  <r>
    <s v="cda598c48d7c614bc1cad7d8ff6f0010"/>
    <x v="0"/>
    <n v="17"/>
    <n v="18"/>
    <n v="1420.2"/>
    <n v="3.94"/>
    <n v="100"/>
  </r>
  <r>
    <s v="8ea394aed8138685abe1eb9f25e1021d"/>
    <x v="0"/>
    <n v="2"/>
    <n v="2"/>
    <n v="1417.6"/>
    <n v="4"/>
    <n v="100"/>
  </r>
  <r>
    <s v="269cff2d3c8d205c11f37a52402ea93b"/>
    <x v="0"/>
    <n v="4"/>
    <n v="5"/>
    <n v="1415"/>
    <n v="4.4000000000000004"/>
    <n v="100"/>
  </r>
  <r>
    <s v="30a81d8cf85fb2ada1b1b094c9583a95"/>
    <x v="0"/>
    <n v="17"/>
    <n v="20"/>
    <n v="1413.52"/>
    <n v="4.8499999999999996"/>
    <n v="100"/>
  </r>
  <r>
    <s v="e48cc16ab70bfa09e1401740dce0b3d7"/>
    <x v="0"/>
    <n v="14"/>
    <n v="17"/>
    <n v="1411.13"/>
    <n v="3.24"/>
    <n v="100"/>
  </r>
  <r>
    <s v="439a47cc365d6e3bd526812ea9de3c29"/>
    <x v="0"/>
    <n v="8"/>
    <n v="13"/>
    <n v="1410.93"/>
    <n v="4"/>
    <n v="100"/>
  </r>
  <r>
    <s v="5d76d80a2f5f39c891b996a1bf4c9853"/>
    <x v="0"/>
    <n v="6"/>
    <n v="6"/>
    <n v="1409.75"/>
    <n v="4.83"/>
    <n v="100"/>
  </r>
  <r>
    <s v="8c5e007d7bd5693fa1386ffefbc99f6c"/>
    <x v="0"/>
    <n v="9"/>
    <n v="24"/>
    <n v="1407.41"/>
    <n v="4.17"/>
    <n v="100"/>
  </r>
  <r>
    <s v="bc07d855eac23aab5ac8a120f21d16b2"/>
    <x v="0"/>
    <n v="11"/>
    <n v="12"/>
    <n v="1407.36"/>
    <n v="4.42"/>
    <n v="83.3"/>
  </r>
  <r>
    <s v="e3d3b3efac954a60d61be70b7e05b49b"/>
    <x v="0"/>
    <n v="3"/>
    <n v="3"/>
    <n v="1405.83"/>
    <n v="4.33"/>
    <n v="100"/>
  </r>
  <r>
    <s v="7ff588a03c2aeae4fbd23f9ae64b760d"/>
    <x v="0"/>
    <n v="14"/>
    <n v="16"/>
    <n v="1403.38"/>
    <n v="4.6900000000000004"/>
    <n v="100"/>
  </r>
  <r>
    <s v="a425f92c199eb576938df686728acd20"/>
    <x v="4"/>
    <n v="16"/>
    <n v="18"/>
    <n v="1399.69"/>
    <n v="4.5599999999999996"/>
    <n v="100"/>
  </r>
  <r>
    <s v="7daca0837f033a41a6f3428c18657533"/>
    <x v="0"/>
    <n v="7"/>
    <n v="7"/>
    <n v="1397.14"/>
    <n v="3.57"/>
    <n v="71.400000000000006"/>
  </r>
  <r>
    <s v="8a9260f2b0340411d6d2a56bcf4f7378"/>
    <x v="3"/>
    <n v="8"/>
    <n v="9"/>
    <n v="1396.94"/>
    <n v="4.78"/>
    <n v="100"/>
  </r>
  <r>
    <s v="788e857f317e53de488d393e65a80f45"/>
    <x v="0"/>
    <n v="11"/>
    <n v="11"/>
    <n v="1394.95"/>
    <n v="4.91"/>
    <n v="100"/>
  </r>
  <r>
    <s v="67225bff54a172ff67579aaf583efd78"/>
    <x v="19"/>
    <n v="8"/>
    <n v="8"/>
    <n v="1393.11"/>
    <n v="4.5"/>
    <n v="100"/>
  </r>
  <r>
    <s v="a36ac007a4d18f865c8d32c3b2402c2d"/>
    <x v="0"/>
    <n v="8"/>
    <n v="8"/>
    <n v="1390.96"/>
    <n v="2.75"/>
    <n v="100"/>
  </r>
  <r>
    <s v="626ab1cd96932367f0eeec2e47046c12"/>
    <x v="0"/>
    <n v="3"/>
    <n v="3"/>
    <n v="1390.47"/>
    <n v="4.67"/>
    <n v="100"/>
  </r>
  <r>
    <s v="b55638ad525e906c698fa2ce742c1742"/>
    <x v="6"/>
    <n v="11"/>
    <n v="12"/>
    <n v="1385.67"/>
    <n v="4.17"/>
    <n v="83.3"/>
  </r>
  <r>
    <s v="2cb6eb1b7185064167657fa09f541105"/>
    <x v="3"/>
    <n v="6"/>
    <n v="7"/>
    <n v="1382.68"/>
    <n v="4.57"/>
    <n v="100"/>
  </r>
  <r>
    <s v="4324dd16853115efb0fd9d0d131ba6f4"/>
    <x v="0"/>
    <n v="12"/>
    <n v="18"/>
    <n v="1379.47"/>
    <n v="4.28"/>
    <n v="94.4"/>
  </r>
  <r>
    <s v="fec8cd45395b3cb0c2b173d7739706a1"/>
    <x v="0"/>
    <n v="4"/>
    <n v="4"/>
    <n v="1376.94"/>
    <n v="3.75"/>
    <n v="100"/>
  </r>
  <r>
    <s v="c0098efcf800861dcae589affca31408"/>
    <x v="0"/>
    <n v="9"/>
    <n v="9"/>
    <n v="1376.74"/>
    <n v="4.78"/>
    <n v="100"/>
  </r>
  <r>
    <s v="b586cd24c010a13916af621b0325fbba"/>
    <x v="6"/>
    <n v="6"/>
    <n v="7"/>
    <n v="1372.93"/>
    <n v="3.86"/>
    <n v="100"/>
  </r>
  <r>
    <s v="5d9f3746e112e696f98ea22c56b3e912"/>
    <x v="0"/>
    <n v="1"/>
    <n v="1"/>
    <n v="1370.41"/>
    <n v="5"/>
    <n v="100"/>
  </r>
  <r>
    <s v="8fdca8e349553f99bc738833a62c8802"/>
    <x v="0"/>
    <n v="22"/>
    <n v="29"/>
    <n v="1370.22"/>
    <n v="4.3600000000000003"/>
    <n v="96.6"/>
  </r>
  <r>
    <s v="d4910f1cdcfdabd48d6b316e395d4a23"/>
    <x v="0"/>
    <n v="11"/>
    <n v="12"/>
    <n v="1361.92"/>
    <n v="4.92"/>
    <n v="100"/>
  </r>
  <r>
    <s v="6562efe88ce0826a4ca4f189f03b4b84"/>
    <x v="4"/>
    <n v="8"/>
    <n v="20"/>
    <n v="1358.32"/>
    <n v="4.05"/>
    <n v="90"/>
  </r>
  <r>
    <s v="5f26c1408a65b42a7224cd463bdf3292"/>
    <x v="4"/>
    <n v="10"/>
    <n v="10"/>
    <n v="1357.09"/>
    <n v="4.8"/>
    <n v="100"/>
  </r>
  <r>
    <s v="fa74b2f3287d296e9fbd2cc80f2d1cf1"/>
    <x v="0"/>
    <n v="5"/>
    <n v="5"/>
    <n v="1350.67"/>
    <n v="3.2"/>
    <n v="60"/>
  </r>
  <r>
    <s v="f9d010e39375d9c91dce3f40b73a2f84"/>
    <x v="0"/>
    <n v="4"/>
    <n v="5"/>
    <n v="1350.14"/>
    <n v="3"/>
    <n v="60"/>
  </r>
  <r>
    <s v="d1b9d4be4b6f9ebd85f8acd6745ba612"/>
    <x v="3"/>
    <n v="11"/>
    <n v="11"/>
    <n v="1348.53"/>
    <n v="4.18"/>
    <n v="100"/>
  </r>
  <r>
    <s v="04e38a233f726ef161074ab1c9b0399a"/>
    <x v="0"/>
    <n v="19"/>
    <n v="24"/>
    <n v="1347.27"/>
    <n v="4.17"/>
    <n v="95.8"/>
  </r>
  <r>
    <s v="a066df7361163e7ddc5d7452dd17448b"/>
    <x v="0"/>
    <n v="15"/>
    <n v="17"/>
    <n v="1344.62"/>
    <n v="4.47"/>
    <n v="76.5"/>
  </r>
  <r>
    <s v="9ed65337433adfbedefd23dd76eaa494"/>
    <x v="0"/>
    <n v="6"/>
    <n v="6"/>
    <n v="1343.65"/>
    <n v="4.83"/>
    <n v="100"/>
  </r>
  <r>
    <s v="5b2e94f2c22b39ccc24d34ad0f669672"/>
    <x v="0"/>
    <n v="10"/>
    <n v="10"/>
    <n v="1340.14"/>
    <n v="4.9000000000000004"/>
    <n v="90"/>
  </r>
  <r>
    <s v="5b97c06a046398e7005b2b7c0d707a92"/>
    <x v="3"/>
    <n v="3"/>
    <n v="3"/>
    <n v="1338.41"/>
    <n v="4"/>
    <n v="66.7"/>
  </r>
  <r>
    <s v="3f2af2670e104d1bcb54022274daeac5"/>
    <x v="4"/>
    <n v="6"/>
    <n v="7"/>
    <n v="1334.18"/>
    <n v="3.57"/>
    <n v="85.7"/>
  </r>
  <r>
    <s v="ecccfa2bb93b34a3bf033cc5d1dcdc69"/>
    <x v="4"/>
    <n v="12"/>
    <n v="16"/>
    <n v="1333.32"/>
    <n v="2.5"/>
    <n v="75"/>
  </r>
  <r>
    <s v="9d7a1d34a5052409006425275ba1c2b4"/>
    <x v="0"/>
    <n v="13"/>
    <n v="16"/>
    <n v="1331.87"/>
    <n v="3.75"/>
    <n v="93.8"/>
  </r>
  <r>
    <s v="6bef34c5be6f2bbd70aa5165f6df94b1"/>
    <x v="6"/>
    <n v="2"/>
    <n v="2"/>
    <n v="1330.88"/>
    <n v="2"/>
    <n v="100"/>
  </r>
  <r>
    <s v="e504a4e2efaa45cbff7e268a2c58c956"/>
    <x v="0"/>
    <n v="10"/>
    <n v="11"/>
    <n v="1329.7"/>
    <n v="3.91"/>
    <n v="72.7"/>
  </r>
  <r>
    <s v="abc015ebac1d283a323ca9db35ede4b9"/>
    <x v="0"/>
    <n v="12"/>
    <n v="13"/>
    <n v="1329.65"/>
    <n v="4.38"/>
    <n v="100"/>
  </r>
  <r>
    <s v="bb5d956dece964a06c12bceb66b923ae"/>
    <x v="2"/>
    <n v="2"/>
    <n v="2"/>
    <n v="1328.5"/>
    <n v="5"/>
    <n v="100"/>
  </r>
  <r>
    <s v="700f03c207639c22d933381ff60b35c2"/>
    <x v="0"/>
    <n v="4"/>
    <n v="4"/>
    <n v="1326.31"/>
    <n v="4"/>
    <n v="50"/>
  </r>
  <r>
    <s v="45a3d05fb00435e52a28859dd03703b3"/>
    <x v="0"/>
    <n v="1"/>
    <n v="1"/>
    <n v="1323.79"/>
    <n v="5"/>
    <n v="100"/>
  </r>
  <r>
    <s v="00720abe85ba0859807595bbf045a33b"/>
    <x v="0"/>
    <n v="13"/>
    <n v="26"/>
    <n v="1323.48"/>
    <n v="3.65"/>
    <n v="92.3"/>
  </r>
  <r>
    <s v="4eeb99008a0f59d2c7759c59f9a346eb"/>
    <x v="0"/>
    <n v="2"/>
    <n v="2"/>
    <n v="1320.95"/>
    <n v="4.5"/>
    <n v="100"/>
  </r>
  <r>
    <s v="5b07547f10dd980738a1a27f685af669"/>
    <x v="0"/>
    <n v="13"/>
    <n v="14"/>
    <n v="1320.07"/>
    <n v="4.5"/>
    <n v="85.7"/>
  </r>
  <r>
    <s v="89f69225956f951295ca4c7fb1266553"/>
    <x v="2"/>
    <n v="11"/>
    <n v="12"/>
    <n v="1318.71"/>
    <n v="4.33"/>
    <n v="100"/>
  </r>
  <r>
    <s v="76ea5315acb3f5f7ade3cd261faf922a"/>
    <x v="0"/>
    <n v="15"/>
    <n v="15"/>
    <n v="1311.08"/>
    <n v="4.2699999999999996"/>
    <n v="93.3"/>
  </r>
  <r>
    <s v="4091f77d8c768fc3e81c20761471761d"/>
    <x v="0"/>
    <n v="8"/>
    <n v="8"/>
    <n v="1309.8699999999999"/>
    <n v="2.75"/>
    <n v="75"/>
  </r>
  <r>
    <s v="973f21788dfab357250f69a8dcb7ddee"/>
    <x v="3"/>
    <n v="9"/>
    <n v="19"/>
    <n v="1309.03"/>
    <n v="2.4700000000000002"/>
    <n v="63.2"/>
  </r>
  <r>
    <s v="b18871c324516afa228a13e8f1ef0ae9"/>
    <x v="0"/>
    <n v="9"/>
    <n v="23"/>
    <n v="1308.4000000000001"/>
    <n v="3.96"/>
    <n v="91.3"/>
  </r>
  <r>
    <s v="c878515173c84a492ebe50d6b493230b"/>
    <x v="4"/>
    <n v="9"/>
    <n v="10"/>
    <n v="1308.04"/>
    <n v="4.2"/>
    <n v="80"/>
  </r>
  <r>
    <s v="bc47d5d1490df2b36add65d733eafaba"/>
    <x v="0"/>
    <n v="21"/>
    <n v="22"/>
    <n v="1301.8599999999999"/>
    <n v="3.55"/>
    <n v="90.9"/>
  </r>
  <r>
    <s v="119d1aef1b4144adba89163f6cd9f5d4"/>
    <x v="0"/>
    <n v="4"/>
    <n v="4"/>
    <n v="1298.24"/>
    <n v="4.75"/>
    <n v="100"/>
  </r>
  <r>
    <s v="4ebdc7e6cd6102a022dadc49156d4ea8"/>
    <x v="0"/>
    <n v="29"/>
    <n v="32"/>
    <n v="1297.9000000000001"/>
    <n v="3.75"/>
    <n v="96.9"/>
  </r>
  <r>
    <s v="4fb41dff7c50136976d1a5cf004a42e2"/>
    <x v="1"/>
    <n v="3"/>
    <n v="3"/>
    <n v="1296.77"/>
    <n v="4"/>
    <n v="66.7"/>
  </r>
  <r>
    <s v="b5e3e38609125694d2ea2417522a60b7"/>
    <x v="6"/>
    <n v="16"/>
    <n v="17"/>
    <n v="1296.18"/>
    <n v="4.3499999999999996"/>
    <n v="88.2"/>
  </r>
  <r>
    <s v="7c5b05cbdb5542049f38d90d7815b97d"/>
    <x v="0"/>
    <n v="21"/>
    <n v="23"/>
    <n v="1292.8900000000001"/>
    <n v="4.57"/>
    <n v="95.7"/>
  </r>
  <r>
    <s v="10ff823eda2b032e2c93d17a7d294736"/>
    <x v="0"/>
    <n v="8"/>
    <n v="8"/>
    <n v="1292.8599999999999"/>
    <n v="4.25"/>
    <n v="100"/>
  </r>
  <r>
    <s v="1cbd32d00d01bb8087a5eb088612fd9c"/>
    <x v="0"/>
    <n v="11"/>
    <n v="12"/>
    <n v="1289.53"/>
    <n v="4.25"/>
    <n v="91.7"/>
  </r>
  <r>
    <s v="dbec9a0a7efeff029d4d9dce7dc4cc95"/>
    <x v="3"/>
    <n v="3"/>
    <n v="3"/>
    <n v="1288.5899999999999"/>
    <n v="4"/>
    <n v="100"/>
  </r>
  <r>
    <s v="3dbbce181edfaa4a597ec858c382d2ec"/>
    <x v="4"/>
    <n v="17"/>
    <n v="20"/>
    <n v="1288.57"/>
    <n v="4.3499999999999996"/>
    <n v="95"/>
  </r>
  <r>
    <s v="577719699805dd125d5b6fdde5943bba"/>
    <x v="8"/>
    <n v="8"/>
    <n v="8"/>
    <n v="1287.3599999999999"/>
    <n v="4.38"/>
    <n v="87.5"/>
  </r>
  <r>
    <s v="5fd924b4836098a5be0ecf81ba054ce0"/>
    <x v="0"/>
    <n v="7"/>
    <n v="8"/>
    <n v="1284.3399999999999"/>
    <n v="4"/>
    <n v="100"/>
  </r>
  <r>
    <s v="734def04b237117a09321dd6d8f3f2a2"/>
    <x v="0"/>
    <n v="2"/>
    <n v="2"/>
    <n v="1281.23"/>
    <n v="5"/>
    <n v="100"/>
  </r>
  <r>
    <s v="4a1f694197d05fe70026b016a7316b41"/>
    <x v="0"/>
    <n v="14"/>
    <n v="23"/>
    <n v="1278.75"/>
    <n v="4.3899999999999997"/>
    <n v="95.7"/>
  </r>
  <r>
    <s v="ef2fbc2b607d8492bcffe657a4645434"/>
    <x v="2"/>
    <n v="19"/>
    <n v="21"/>
    <n v="1274.51"/>
    <n v="4.05"/>
    <n v="90.5"/>
  </r>
  <r>
    <s v="e84ad2127668df3aafc6b73531a0beb8"/>
    <x v="0"/>
    <n v="19"/>
    <n v="23"/>
    <n v="1273.73"/>
    <n v="4.3899999999999997"/>
    <n v="95.7"/>
  </r>
  <r>
    <s v="c8e135e7b21ecbc36c1153a29d2f5a06"/>
    <x v="0"/>
    <n v="7"/>
    <n v="7"/>
    <n v="1267.48"/>
    <n v="4.8600000000000003"/>
    <n v="100"/>
  </r>
  <r>
    <s v="9c4d31c7e46ab03a43fc06e3142afd4e"/>
    <x v="2"/>
    <n v="2"/>
    <n v="2"/>
    <n v="1262.72"/>
    <n v="4.5"/>
    <n v="100"/>
  </r>
  <r>
    <s v="327b89b872c14d1c0be7235ef4871685"/>
    <x v="20"/>
    <n v="3"/>
    <n v="3"/>
    <n v="1258.8"/>
    <n v="2.33"/>
    <n v="66.7"/>
  </r>
  <r>
    <s v="6c6cc59a5c00cacc5054ca06d65cc282"/>
    <x v="8"/>
    <n v="1"/>
    <n v="1"/>
    <n v="1255.71"/>
    <n v="5"/>
    <n v="100"/>
  </r>
  <r>
    <s v="1b65c144b17e607c0f37f10bb7dfec8d"/>
    <x v="6"/>
    <n v="5"/>
    <n v="5"/>
    <n v="1254.3499999999999"/>
    <n v="2"/>
    <n v="100"/>
  </r>
  <r>
    <s v="03a2a6dcbe45d639c4dc2a0d24769c40"/>
    <x v="0"/>
    <n v="9"/>
    <n v="9"/>
    <n v="1250.6600000000001"/>
    <n v="4.1100000000000003"/>
    <n v="88.9"/>
  </r>
  <r>
    <s v="7238f877570096ae403c51898fa64566"/>
    <x v="0"/>
    <n v="3"/>
    <n v="3"/>
    <n v="1249.52"/>
    <n v="5"/>
    <n v="100"/>
  </r>
  <r>
    <s v="f235413f677777a0738ff215d0184901"/>
    <x v="0"/>
    <n v="2"/>
    <n v="2"/>
    <n v="1247.81"/>
    <n v="5"/>
    <n v="100"/>
  </r>
  <r>
    <s v="980640c45d7a4635885491d077167e4d"/>
    <x v="0"/>
    <n v="14"/>
    <n v="14"/>
    <n v="1246.6600000000001"/>
    <n v="4.6399999999999997"/>
    <n v="92.9"/>
  </r>
  <r>
    <s v="76c47a299e4a8fe992316a85865acbe9"/>
    <x v="0"/>
    <n v="6"/>
    <n v="10"/>
    <n v="1246.3399999999999"/>
    <n v="4.8"/>
    <n v="80"/>
  </r>
  <r>
    <s v="457fe919b032a3f7dadba6fb92cf7855"/>
    <x v="0"/>
    <n v="9"/>
    <n v="12"/>
    <n v="1246.1099999999999"/>
    <n v="4.83"/>
    <n v="100"/>
  </r>
  <r>
    <s v="226b05fe067266c59c15dae208213d06"/>
    <x v="4"/>
    <n v="10"/>
    <n v="11"/>
    <n v="1245.58"/>
    <n v="4.18"/>
    <n v="100"/>
  </r>
  <r>
    <s v="83645b1645cdee8953ee54c29ceed564"/>
    <x v="4"/>
    <n v="14"/>
    <n v="14"/>
    <n v="1245.0999999999999"/>
    <n v="4.43"/>
    <n v="100"/>
  </r>
  <r>
    <s v="26785a546900236d66f2e4197c211158"/>
    <x v="0"/>
    <n v="15"/>
    <n v="15"/>
    <n v="1244.6500000000001"/>
    <n v="4.67"/>
    <n v="100"/>
  </r>
  <r>
    <s v="8fbd63429be6d3e5e6d1a709b6464802"/>
    <x v="0"/>
    <n v="6"/>
    <n v="8"/>
    <n v="1240.97"/>
    <n v="4.63"/>
    <n v="100"/>
  </r>
  <r>
    <s v="a20d8058c866dbaeca014d2cd20ac62e"/>
    <x v="0"/>
    <n v="2"/>
    <n v="2"/>
    <n v="1238.9000000000001"/>
    <n v="5"/>
    <n v="100"/>
  </r>
  <r>
    <s v="41da412d33e8da4f22baf55cb1bde82c"/>
    <x v="9"/>
    <n v="15"/>
    <n v="21"/>
    <n v="1237.06"/>
    <n v="4.71"/>
    <n v="100"/>
  </r>
  <r>
    <s v="5b664594895aefb418afaee6d40a9a23"/>
    <x v="2"/>
    <n v="16"/>
    <n v="22"/>
    <n v="1235.18"/>
    <n v="3.64"/>
    <n v="100"/>
  </r>
  <r>
    <s v="343e716476e3748b069f980efbaa294e"/>
    <x v="0"/>
    <n v="17"/>
    <n v="24"/>
    <n v="1234.7"/>
    <n v="4"/>
    <n v="91.7"/>
  </r>
  <r>
    <s v="71dc18fd8cbf5fd77f45dd8b427abb34"/>
    <x v="4"/>
    <n v="4"/>
    <n v="9"/>
    <n v="1229.4000000000001"/>
    <n v="5"/>
    <n v="100"/>
  </r>
  <r>
    <s v="4b39558c138930b9e5489c93b6df5fe3"/>
    <x v="21"/>
    <n v="4"/>
    <n v="5"/>
    <n v="1229.0999999999999"/>
    <n v="4.5999999999999996"/>
    <n v="100"/>
  </r>
  <r>
    <s v="6a8a889bde935bafa76d7848782dfaf9"/>
    <x v="0"/>
    <n v="26"/>
    <n v="30"/>
    <n v="1228.6199999999999"/>
    <n v="3.93"/>
    <n v="93.3"/>
  </r>
  <r>
    <s v="1d2732ef8321502ee8488e8bed1ab8cd"/>
    <x v="2"/>
    <n v="4"/>
    <n v="5"/>
    <n v="1228.18"/>
    <n v="3.2"/>
    <n v="80"/>
  </r>
  <r>
    <s v="1710c3aaa9c6b44ec3883ee0fe300e21"/>
    <x v="0"/>
    <n v="2"/>
    <n v="2"/>
    <n v="1226.55"/>
    <n v="5"/>
    <n v="100"/>
  </r>
  <r>
    <s v="fb3cfbc8a86f5d7fbb4d36b8df63f60d"/>
    <x v="2"/>
    <n v="10"/>
    <n v="15"/>
    <n v="1225.06"/>
    <n v="3.13"/>
    <n v="100"/>
  </r>
  <r>
    <s v="5011f0d93373a4c5753adf58ca77af8d"/>
    <x v="0"/>
    <n v="11"/>
    <n v="21"/>
    <n v="1223.19"/>
    <n v="3.67"/>
    <n v="81"/>
  </r>
  <r>
    <s v="596849622429351f47b32e6cae1055ff"/>
    <x v="0"/>
    <n v="13"/>
    <n v="13"/>
    <n v="1222.9000000000001"/>
    <n v="4.08"/>
    <n v="100"/>
  </r>
  <r>
    <s v="4200ddf1967c5e41e48db62bc6d4b5ac"/>
    <x v="0"/>
    <n v="22"/>
    <n v="42"/>
    <n v="1222.73"/>
    <n v="4.24"/>
    <n v="97.6"/>
  </r>
  <r>
    <s v="3d4b1ae7539303b5704493798893e82c"/>
    <x v="0"/>
    <n v="6"/>
    <n v="9"/>
    <n v="1221.69"/>
    <n v="4.67"/>
    <n v="100"/>
  </r>
  <r>
    <s v="4cf490a58259286ada5ba8525ba9e84a"/>
    <x v="0"/>
    <n v="7"/>
    <n v="7"/>
    <n v="1217.8499999999999"/>
    <n v="3.43"/>
    <n v="100"/>
  </r>
  <r>
    <s v="9261d76c62caaf0b24677c2ceb7f8f20"/>
    <x v="6"/>
    <n v="6"/>
    <n v="7"/>
    <n v="1216.24"/>
    <n v="3.71"/>
    <n v="100"/>
  </r>
  <r>
    <s v="fe87f472055fbcf1d7e691c00b1560dc"/>
    <x v="0"/>
    <n v="6"/>
    <n v="6"/>
    <n v="1215.96"/>
    <n v="4.5"/>
    <n v="83.3"/>
  </r>
  <r>
    <s v="08d2d642cf72b622b14dde1d2f5eb2f5"/>
    <x v="0"/>
    <n v="16"/>
    <n v="20"/>
    <n v="1215.1600000000001"/>
    <n v="4.45"/>
    <n v="90"/>
  </r>
  <r>
    <s v="b2eecf5ea250510da76590ca79d60e5d"/>
    <x v="0"/>
    <n v="9"/>
    <n v="11"/>
    <n v="1213.1500000000001"/>
    <n v="5"/>
    <n v="100"/>
  </r>
  <r>
    <s v="713e3a23ca5e47786eb6f0d99f94cfac"/>
    <x v="4"/>
    <n v="4"/>
    <n v="4"/>
    <n v="1213.03"/>
    <n v="4.75"/>
    <n v="100"/>
  </r>
  <r>
    <s v="18e694e0e48ed6f7aa3f24aade5fd697"/>
    <x v="0"/>
    <n v="31"/>
    <n v="34"/>
    <n v="1205.77"/>
    <n v="4.68"/>
    <n v="97.1"/>
  </r>
  <r>
    <s v="e250d617a0ad591ba9bd663e584a895d"/>
    <x v="0"/>
    <n v="8"/>
    <n v="20"/>
    <n v="1204.9100000000001"/>
    <n v="2.8"/>
    <n v="100"/>
  </r>
  <r>
    <s v="2d42ebcda99fd55f6f4bc2f1ca035d50"/>
    <x v="12"/>
    <n v="10"/>
    <n v="11"/>
    <n v="1203.97"/>
    <n v="4"/>
    <n v="100"/>
  </r>
  <r>
    <s v="ea6b12bf9ffe2bac34602ec631d97a47"/>
    <x v="0"/>
    <n v="9"/>
    <n v="9"/>
    <n v="1202.19"/>
    <n v="4.33"/>
    <n v="100"/>
  </r>
  <r>
    <s v="10089e9f2fd0c668a8fd4e52e1698888"/>
    <x v="0"/>
    <n v="3"/>
    <n v="3"/>
    <n v="1199.31"/>
    <n v="4.33"/>
    <n v="100"/>
  </r>
  <r>
    <s v="10076e5788b8ee532724bcd460baf762"/>
    <x v="0"/>
    <n v="23"/>
    <n v="26"/>
    <n v="1198.78"/>
    <n v="4.62"/>
    <n v="96.2"/>
  </r>
  <r>
    <s v="c03121937e54a93fcc1825c3098bbb6e"/>
    <x v="4"/>
    <n v="7"/>
    <n v="7"/>
    <n v="1197.94"/>
    <n v="5"/>
    <n v="100"/>
  </r>
  <r>
    <s v="48328ec9a579151d9cc6a86d4a59336c"/>
    <x v="8"/>
    <n v="1"/>
    <n v="1"/>
    <n v="1196.78"/>
    <n v="2"/>
    <n v="100"/>
  </r>
  <r>
    <s v="de9727ca376d1be6ec121b110aa7954c"/>
    <x v="4"/>
    <n v="9"/>
    <n v="11"/>
    <n v="1195.6400000000001"/>
    <n v="3.64"/>
    <n v="90.9"/>
  </r>
  <r>
    <s v="365e445f796710c3431557e85caa25db"/>
    <x v="0"/>
    <n v="4"/>
    <n v="5"/>
    <n v="1194.3"/>
    <n v="4.4000000000000004"/>
    <n v="100"/>
  </r>
  <r>
    <s v="bf00385a5f7fc1ef39a13c2e9ee50a5f"/>
    <x v="0"/>
    <n v="28"/>
    <n v="28"/>
    <n v="1189.25"/>
    <n v="4.43"/>
    <n v="100"/>
  </r>
  <r>
    <s v="28f10b1c5e5abb9d4857745bede6147c"/>
    <x v="0"/>
    <n v="28"/>
    <n v="28"/>
    <n v="1185.42"/>
    <n v="4"/>
    <n v="85.7"/>
  </r>
  <r>
    <s v="eb72802c83dc7547529c9546d1a9b8ef"/>
    <x v="0"/>
    <n v="8"/>
    <n v="8"/>
    <n v="1181.6300000000001"/>
    <n v="4.63"/>
    <n v="100"/>
  </r>
  <r>
    <s v="167fd940acebc789debd6eb418c46e38"/>
    <x v="0"/>
    <n v="5"/>
    <n v="5"/>
    <n v="1178.48"/>
    <n v="3"/>
    <n v="80"/>
  </r>
  <r>
    <s v="8f2b51a30523cdecddc2f179f351c7d6"/>
    <x v="0"/>
    <n v="7"/>
    <n v="8"/>
    <n v="1176.23"/>
    <n v="3.88"/>
    <n v="100"/>
  </r>
  <r>
    <s v="51e4e89242cbb846c2deff3dc015650e"/>
    <x v="8"/>
    <n v="16"/>
    <n v="16"/>
    <n v="1175.75"/>
    <n v="4.63"/>
    <n v="100"/>
  </r>
  <r>
    <s v="39f776d2974049026ff531fc42ef2a3e"/>
    <x v="12"/>
    <n v="3"/>
    <n v="4"/>
    <n v="1174.4100000000001"/>
    <n v="4"/>
    <n v="100"/>
  </r>
  <r>
    <s v="edd066cd02126d7800f9b66e980e9931"/>
    <x v="10"/>
    <n v="6"/>
    <n v="6"/>
    <n v="1173.93"/>
    <n v="5"/>
    <n v="83.3"/>
  </r>
  <r>
    <s v="7df1fc11cc5cbc518b39faa60cf5d67c"/>
    <x v="16"/>
    <n v="5"/>
    <n v="5"/>
    <n v="1171.96"/>
    <n v="4.2"/>
    <n v="100"/>
  </r>
  <r>
    <s v="05730013efda596306417c3b09302475"/>
    <x v="6"/>
    <n v="4"/>
    <n v="4"/>
    <n v="1168.67"/>
    <n v="5"/>
    <n v="100"/>
  </r>
  <r>
    <s v="e58a5b390e28abc0b216cfb0e07d27d7"/>
    <x v="2"/>
    <n v="7"/>
    <n v="7"/>
    <n v="1167.23"/>
    <n v="4.8600000000000003"/>
    <n v="100"/>
  </r>
  <r>
    <s v="55dedd83e501d8248880557d9073cbfd"/>
    <x v="2"/>
    <n v="8"/>
    <n v="9"/>
    <n v="1166.0899999999999"/>
    <n v="4.8899999999999997"/>
    <n v="100"/>
  </r>
  <r>
    <s v="d66c11a9572221d92fbb8c4897db5f9b"/>
    <x v="2"/>
    <n v="16"/>
    <n v="16"/>
    <n v="1164.3800000000001"/>
    <n v="4.5599999999999996"/>
    <n v="100"/>
  </r>
  <r>
    <s v="8b655f0855926bcb49f5835d38dfddf6"/>
    <x v="0"/>
    <n v="5"/>
    <n v="5"/>
    <n v="1162.81"/>
    <n v="4.8"/>
    <n v="100"/>
  </r>
  <r>
    <s v="82cb9f452fe8334df74b22d37824b431"/>
    <x v="8"/>
    <n v="14"/>
    <n v="18"/>
    <n v="1155.26"/>
    <n v="4.72"/>
    <n v="100"/>
  </r>
  <r>
    <s v="515d781150feed28a6ac091bb0e3cb8c"/>
    <x v="16"/>
    <n v="6"/>
    <n v="6"/>
    <n v="1154.72"/>
    <n v="4.17"/>
    <n v="100"/>
  </r>
  <r>
    <s v="db46ca7bce82b11f7e247539271fc390"/>
    <x v="2"/>
    <n v="16"/>
    <n v="16"/>
    <n v="1149.8599999999999"/>
    <n v="4.5599999999999996"/>
    <n v="100"/>
  </r>
  <r>
    <s v="e1dc0754bada9ee4cfe9713f22f61292"/>
    <x v="2"/>
    <n v="12"/>
    <n v="12"/>
    <n v="1149.78"/>
    <n v="3.83"/>
    <n v="100"/>
  </r>
  <r>
    <s v="f8201cab383e484733266d1906e2fdfa"/>
    <x v="6"/>
    <n v="10"/>
    <n v="10"/>
    <n v="1144.83"/>
    <n v="4.0999999999999996"/>
    <n v="90"/>
  </r>
  <r>
    <s v="70849ca4f400aaabb62cb7462a6f1428"/>
    <x v="3"/>
    <n v="12"/>
    <n v="12"/>
    <n v="1143.24"/>
    <n v="4.42"/>
    <n v="83.3"/>
  </r>
  <r>
    <s v="1bc2e21de46adfea6b98cc96b00f3b40"/>
    <x v="6"/>
    <n v="3"/>
    <n v="5"/>
    <n v="1142.55"/>
    <n v="3.6"/>
    <n v="100"/>
  </r>
  <r>
    <s v="c54679b132454625907c773d273d4126"/>
    <x v="0"/>
    <n v="7"/>
    <n v="8"/>
    <n v="1139.93"/>
    <n v="4.88"/>
    <n v="100"/>
  </r>
  <r>
    <s v="c4fabeea6e569d42d02993bb1f4f1cbc"/>
    <x v="14"/>
    <n v="11"/>
    <n v="11"/>
    <n v="1136.52"/>
    <n v="4"/>
    <n v="90.9"/>
  </r>
  <r>
    <s v="33cbbec1e7e1044aaf11d152172c776f"/>
    <x v="8"/>
    <n v="15"/>
    <n v="16"/>
    <n v="1129.5"/>
    <n v="4.6900000000000004"/>
    <n v="100"/>
  </r>
  <r>
    <s v="07017df32dc5f2f1d2801e579548d620"/>
    <x v="11"/>
    <n v="8"/>
    <n v="9"/>
    <n v="1128.24"/>
    <n v="4.1100000000000003"/>
    <n v="100"/>
  </r>
  <r>
    <s v="e21a1e8be4715b0fcfd5385643bc49c4"/>
    <x v="6"/>
    <n v="20"/>
    <n v="23"/>
    <n v="1128.21"/>
    <n v="3.7"/>
    <n v="100"/>
  </r>
  <r>
    <s v="2379bdc3888025689a9deb7b141507d5"/>
    <x v="0"/>
    <n v="9"/>
    <n v="9"/>
    <n v="1125.6099999999999"/>
    <n v="4.33"/>
    <n v="77.8"/>
  </r>
  <r>
    <s v="633ecdf879b94b5337cca303328e4a25"/>
    <x v="0"/>
    <n v="6"/>
    <n v="6"/>
    <n v="1125.49"/>
    <n v="1.8"/>
    <n v="33.299999999999997"/>
  </r>
  <r>
    <s v="d1582f4043306e6b91afa6a8a884f898"/>
    <x v="0"/>
    <n v="9"/>
    <n v="9"/>
    <n v="1121.92"/>
    <n v="4.1100000000000003"/>
    <n v="88.9"/>
  </r>
  <r>
    <s v="daf565f087a52def0fd5c5825b3661bc"/>
    <x v="6"/>
    <n v="9"/>
    <n v="9"/>
    <n v="1121.83"/>
    <n v="3.63"/>
    <n v="100"/>
  </r>
  <r>
    <s v="9c690ceacd5c66731bf443ea810195cb"/>
    <x v="3"/>
    <n v="10"/>
    <n v="12"/>
    <n v="1121.02"/>
    <n v="4.42"/>
    <n v="100"/>
  </r>
  <r>
    <s v="ddd51ae8cda92f3995a51fc0f0f3eec7"/>
    <x v="2"/>
    <n v="8"/>
    <n v="25"/>
    <n v="1119.6199999999999"/>
    <n v="4.5999999999999996"/>
    <n v="100"/>
  </r>
  <r>
    <s v="7aa538dd6e114e503a2e6154ea352253"/>
    <x v="0"/>
    <n v="5"/>
    <n v="5"/>
    <n v="1118.5999999999999"/>
    <n v="4.4000000000000004"/>
    <n v="100"/>
  </r>
  <r>
    <s v="e0eabded302882513ced4ea3eb0c7059"/>
    <x v="0"/>
    <n v="8"/>
    <n v="8"/>
    <n v="1117.19"/>
    <n v="4.63"/>
    <n v="100"/>
  </r>
  <r>
    <s v="7ecef8194babfec876ca720714327841"/>
    <x v="0"/>
    <n v="7"/>
    <n v="8"/>
    <n v="1114.26"/>
    <n v="4.25"/>
    <n v="100"/>
  </r>
  <r>
    <s v="d9442042130b7fe579d1295f9f4a248f"/>
    <x v="0"/>
    <n v="19"/>
    <n v="22"/>
    <n v="1111.04"/>
    <n v="4.2300000000000004"/>
    <n v="95.5"/>
  </r>
  <r>
    <s v="41c9d3997dd3c072c31139dc5bb5761f"/>
    <x v="3"/>
    <n v="3"/>
    <n v="3"/>
    <n v="1110.54"/>
    <n v="4.33"/>
    <n v="100"/>
  </r>
  <r>
    <s v="557f22c76691849db52d2abccf0015d0"/>
    <x v="12"/>
    <n v="12"/>
    <n v="13"/>
    <n v="1108.54"/>
    <n v="3.33"/>
    <n v="100"/>
  </r>
  <r>
    <s v="3c3017960b2dbd72711a61f0400aab8f"/>
    <x v="6"/>
    <n v="9"/>
    <n v="9"/>
    <n v="1107.6199999999999"/>
    <n v="3.89"/>
    <n v="100"/>
  </r>
  <r>
    <s v="670a9dda115b5a88b18cfadee8de2332"/>
    <x v="0"/>
    <n v="11"/>
    <n v="11"/>
    <n v="1101.99"/>
    <n v="4.45"/>
    <n v="100"/>
  </r>
  <r>
    <s v="f0e103c63864d5405b958d984b6e94c9"/>
    <x v="0"/>
    <n v="11"/>
    <n v="11"/>
    <n v="1101.4100000000001"/>
    <n v="4.7300000000000004"/>
    <n v="100"/>
  </r>
  <r>
    <s v="91543f9849d68d023e17194926598543"/>
    <x v="6"/>
    <n v="4"/>
    <n v="6"/>
    <n v="1100.57"/>
    <n v="4.33"/>
    <n v="100"/>
  </r>
  <r>
    <s v="7a9c12e235c36247c3c81f50d6ea9cea"/>
    <x v="0"/>
    <n v="5"/>
    <n v="5"/>
    <n v="1099.5899999999999"/>
    <n v="4.5999999999999996"/>
    <n v="100"/>
  </r>
  <r>
    <s v="7d7d2b7a51328016102d4528c411d630"/>
    <x v="0"/>
    <n v="7"/>
    <n v="7"/>
    <n v="1098.8499999999999"/>
    <n v="4.1399999999999997"/>
    <n v="85.7"/>
  </r>
  <r>
    <s v="6025c79c035c3d772133b8b8238463b2"/>
    <x v="4"/>
    <n v="2"/>
    <n v="4"/>
    <n v="1098.33"/>
    <n v="5"/>
    <n v="100"/>
  </r>
  <r>
    <s v="ffad1e7127fb622cb64a900751590acd"/>
    <x v="0"/>
    <n v="10"/>
    <n v="15"/>
    <n v="1090.83"/>
    <n v="4.87"/>
    <n v="100"/>
  </r>
  <r>
    <s v="4221a7df464f1fe2955934e30ff3a5a1"/>
    <x v="1"/>
    <n v="5"/>
    <n v="5"/>
    <n v="1089.04"/>
    <n v="4.8"/>
    <n v="100"/>
  </r>
  <r>
    <s v="ef9952469137ff190bacafe117f51537"/>
    <x v="3"/>
    <n v="5"/>
    <n v="5"/>
    <n v="1086.5999999999999"/>
    <n v="4.8"/>
    <n v="100"/>
  </r>
  <r>
    <s v="a13aaf2d2886ab9fb30fb9a920160b8f"/>
    <x v="6"/>
    <n v="4"/>
    <n v="4"/>
    <n v="1085.83"/>
    <n v="4.5"/>
    <n v="75"/>
  </r>
  <r>
    <s v="a0d7fbb07bb5ebc3b05980e750db56f3"/>
    <x v="0"/>
    <n v="3"/>
    <n v="4"/>
    <n v="1085.18"/>
    <n v="2"/>
    <n v="100"/>
  </r>
  <r>
    <s v="1f867308a0ce13133a4e639ff4de0c02"/>
    <x v="4"/>
    <n v="7"/>
    <n v="13"/>
    <n v="1084.92"/>
    <n v="4.54"/>
    <n v="100"/>
  </r>
  <r>
    <s v="8e670472e453ba34a379331513d6aab1"/>
    <x v="3"/>
    <n v="1"/>
    <n v="1"/>
    <n v="1083.96"/>
    <n v="1"/>
    <n v="0"/>
  </r>
  <r>
    <s v="0e982cff76cc0579f632cea8a0e38c9d"/>
    <x v="6"/>
    <n v="6"/>
    <n v="7"/>
    <n v="1081.1600000000001"/>
    <n v="4.1399999999999997"/>
    <n v="100"/>
  </r>
  <r>
    <s v="cb4a705d00e100b9732d0ca34817d441"/>
    <x v="6"/>
    <n v="1"/>
    <n v="2"/>
    <n v="1080.56"/>
    <n v="1"/>
    <n v="100"/>
  </r>
  <r>
    <s v="8602a61d680a10a82cceeeda0d99ea3d"/>
    <x v="0"/>
    <n v="17"/>
    <n v="19"/>
    <n v="1079.9000000000001"/>
    <n v="4.47"/>
    <n v="100"/>
  </r>
  <r>
    <s v="010da0602d7774602cd1b3f5fb7b709e"/>
    <x v="0"/>
    <n v="1"/>
    <n v="5"/>
    <n v="1079.75"/>
    <n v="1"/>
    <n v="100"/>
  </r>
  <r>
    <s v="dc7192adf8ba09569261f4a8d576afe0"/>
    <x v="0"/>
    <n v="7"/>
    <n v="8"/>
    <n v="1078.43"/>
    <n v="3.63"/>
    <n v="100"/>
  </r>
  <r>
    <s v="5a05a16bb50629ee31afab8a6d4c2674"/>
    <x v="8"/>
    <n v="14"/>
    <n v="15"/>
    <n v="1075.48"/>
    <n v="4"/>
    <n v="100"/>
  </r>
  <r>
    <s v="9bc484c87d79cd4874e05ca182658045"/>
    <x v="0"/>
    <n v="8"/>
    <n v="8"/>
    <n v="1075.1199999999999"/>
    <n v="4.25"/>
    <n v="87.5"/>
  </r>
  <r>
    <s v="79a679c36c08d606b3fd47ead9de109b"/>
    <x v="0"/>
    <n v="3"/>
    <n v="7"/>
    <n v="1072.22"/>
    <n v="2.71"/>
    <n v="85.7"/>
  </r>
  <r>
    <s v="4f1f1c8666cdb6442f775c4e8caed465"/>
    <x v="3"/>
    <n v="2"/>
    <n v="2"/>
    <n v="1070.3900000000001"/>
    <n v="5"/>
    <n v="100"/>
  </r>
  <r>
    <s v="ae45df84722b1d15c5f32b23a095746c"/>
    <x v="0"/>
    <n v="9"/>
    <n v="12"/>
    <n v="1065.49"/>
    <n v="4.83"/>
    <n v="100"/>
  </r>
  <r>
    <s v="13511db12ac61e2f89c53b72a944a60b"/>
    <x v="8"/>
    <n v="6"/>
    <n v="6"/>
    <n v="1063.97"/>
    <n v="3.5"/>
    <n v="100"/>
  </r>
  <r>
    <s v="c37b2059d4f90d4feead554e5246565e"/>
    <x v="0"/>
    <n v="12"/>
    <n v="16"/>
    <n v="1061.28"/>
    <n v="3.75"/>
    <n v="56.3"/>
  </r>
  <r>
    <s v="9d681c7e12db302cb261e721040dde65"/>
    <x v="4"/>
    <n v="13"/>
    <n v="14"/>
    <n v="1058.68"/>
    <n v="4.93"/>
    <n v="100"/>
  </r>
  <r>
    <s v="8a43128d7f9a3db592b866e6861a6cce"/>
    <x v="0"/>
    <n v="3"/>
    <n v="4"/>
    <n v="1058.49"/>
    <n v="2"/>
    <n v="100"/>
  </r>
  <r>
    <s v="6e4f5ff6b086632ba8dcb558fb10249e"/>
    <x v="8"/>
    <n v="5"/>
    <n v="5"/>
    <n v="1053.25"/>
    <n v="3.4"/>
    <n v="100"/>
  </r>
  <r>
    <s v="b81e3a6c866a764974fe849821abeebd"/>
    <x v="0"/>
    <n v="8"/>
    <n v="11"/>
    <n v="1053.01"/>
    <n v="4.55"/>
    <n v="100"/>
  </r>
  <r>
    <s v="9198786624eaeb375793215cad26cfa6"/>
    <x v="6"/>
    <n v="8"/>
    <n v="9"/>
    <n v="1052.7"/>
    <n v="4.1100000000000003"/>
    <n v="100"/>
  </r>
  <r>
    <s v="c1ed9e3daf6154542826a6996af0fb8c"/>
    <x v="6"/>
    <n v="8"/>
    <n v="16"/>
    <n v="1050.07"/>
    <n v="4.63"/>
    <n v="68.8"/>
  </r>
  <r>
    <s v="1bb3812d5f0747a3ab7348f199001a10"/>
    <x v="0"/>
    <n v="9"/>
    <n v="9"/>
    <n v="1049.57"/>
    <n v="4.8899999999999997"/>
    <n v="100"/>
  </r>
  <r>
    <s v="74636e24f01da9268b0ed88dacd8513e"/>
    <x v="0"/>
    <n v="4"/>
    <n v="4"/>
    <n v="1048.6099999999999"/>
    <n v="4"/>
    <n v="75"/>
  </r>
  <r>
    <s v="e3a386fc36e22064434e1fa256f6a9fa"/>
    <x v="0"/>
    <n v="16"/>
    <n v="17"/>
    <n v="1047.1500000000001"/>
    <n v="4.24"/>
    <n v="88.2"/>
  </r>
  <r>
    <s v="20b54c376b794ed028df09a3cd88e8dc"/>
    <x v="0"/>
    <n v="7"/>
    <n v="7"/>
    <n v="1042.07"/>
    <n v="3.71"/>
    <n v="71.400000000000006"/>
  </r>
  <r>
    <s v="a67780aba9dd436e7ac0aa1f889e73ec"/>
    <x v="0"/>
    <n v="6"/>
    <n v="6"/>
    <n v="1041.04"/>
    <n v="3.67"/>
    <n v="83.3"/>
  </r>
  <r>
    <s v="9e9b539eb2806acee3f5c28085c1db9f"/>
    <x v="3"/>
    <n v="3"/>
    <n v="3"/>
    <n v="1039.47"/>
    <n v="3.67"/>
    <n v="66.7"/>
  </r>
  <r>
    <s v="28872dc528e978a639754bc8c2ce5a4c"/>
    <x v="8"/>
    <n v="1"/>
    <n v="1"/>
    <n v="1038.9000000000001"/>
    <n v="5"/>
    <n v="100"/>
  </r>
  <r>
    <s v="04fdea0c111866e6cf812f1570d6b5bd"/>
    <x v="0"/>
    <n v="8"/>
    <n v="8"/>
    <n v="1038.3499999999999"/>
    <n v="3.5"/>
    <n v="87.5"/>
  </r>
  <r>
    <s v="caa9bc43a9fe8cf9c564ddd8a03cc4a6"/>
    <x v="0"/>
    <n v="13"/>
    <n v="14"/>
    <n v="1037.74"/>
    <n v="4.6900000000000004"/>
    <n v="100"/>
  </r>
  <r>
    <s v="e8dba4d70f7f2b20e775d09cae01142d"/>
    <x v="0"/>
    <n v="9"/>
    <n v="9"/>
    <n v="1032.3900000000001"/>
    <n v="4.33"/>
    <n v="88.9"/>
  </r>
  <r>
    <s v="d8cf3b6a2151949f930d0252b180ec42"/>
    <x v="4"/>
    <n v="6"/>
    <n v="19"/>
    <n v="1030.18"/>
    <n v="3"/>
    <n v="100"/>
  </r>
  <r>
    <s v="4b1eaadf791bdbbad8c4a35b65236d52"/>
    <x v="0"/>
    <n v="5"/>
    <n v="5"/>
    <n v="1029.04"/>
    <n v="2.6"/>
    <n v="80"/>
  </r>
  <r>
    <s v="0791d9fc1e30678ecf03d3e55fa108d3"/>
    <x v="3"/>
    <n v="5"/>
    <n v="11"/>
    <n v="1028.99"/>
    <n v="2.73"/>
    <n v="100"/>
  </r>
  <r>
    <s v="48985c61529077fa4f1e38bcff0f2ed3"/>
    <x v="8"/>
    <n v="7"/>
    <n v="7"/>
    <n v="1027.3699999999999"/>
    <n v="4.43"/>
    <n v="100"/>
  </r>
  <r>
    <s v="3d5d0dc7073a299e31fa718ce1bc00b6"/>
    <x v="2"/>
    <n v="21"/>
    <n v="22"/>
    <n v="1027.1199999999999"/>
    <n v="4.2699999999999996"/>
    <n v="90.9"/>
  </r>
  <r>
    <s v="a99504ac23ed125aaf5302af6cc30af9"/>
    <x v="0"/>
    <n v="1"/>
    <n v="1"/>
    <n v="1025.24"/>
    <n v="5"/>
    <n v="100"/>
  </r>
  <r>
    <s v="0ff83046c3fa22efee8ecf291888b191"/>
    <x v="8"/>
    <n v="10"/>
    <n v="11"/>
    <n v="1023.38"/>
    <n v="4.82"/>
    <n v="100"/>
  </r>
  <r>
    <s v="63a79f5a7eb5cb48a7e5787b141c7993"/>
    <x v="3"/>
    <n v="11"/>
    <n v="11"/>
    <n v="1015.93"/>
    <n v="4.55"/>
    <n v="100"/>
  </r>
  <r>
    <s v="3f9c56764fabca627406093dcb3ef0b4"/>
    <x v="2"/>
    <n v="7"/>
    <n v="7"/>
    <n v="1014.95"/>
    <n v="4.71"/>
    <n v="100"/>
  </r>
  <r>
    <s v="cac63f48c38cd7d002a7e846dcd99a23"/>
    <x v="0"/>
    <n v="10"/>
    <n v="10"/>
    <n v="1014.62"/>
    <n v="4.8"/>
    <n v="100"/>
  </r>
  <r>
    <s v="528bcf6680c36dddf07620bd35b33a6f"/>
    <x v="0"/>
    <n v="2"/>
    <n v="2"/>
    <n v="1013.84"/>
    <n v="4.5"/>
    <n v="50"/>
  </r>
  <r>
    <s v="bd4431c1a8dfa744b59e1e2a8bc99b9e"/>
    <x v="2"/>
    <n v="7"/>
    <n v="7"/>
    <n v="1013.59"/>
    <n v="4.57"/>
    <n v="100"/>
  </r>
  <r>
    <s v="cb6c9f5888a7a090c75beaf615925792"/>
    <x v="9"/>
    <n v="11"/>
    <n v="11"/>
    <n v="1008.97"/>
    <n v="3.82"/>
    <n v="100"/>
  </r>
  <r>
    <s v="1cbd50a8c52e6cf8e315c5709fab386f"/>
    <x v="4"/>
    <n v="9"/>
    <n v="9"/>
    <n v="1006.66"/>
    <n v="3.78"/>
    <n v="88.9"/>
  </r>
  <r>
    <s v="134a288e7de827ec5ec62e3ec9c3a295"/>
    <x v="0"/>
    <n v="9"/>
    <n v="9"/>
    <n v="1004"/>
    <n v="4.78"/>
    <n v="100"/>
  </r>
  <r>
    <s v="f783a638e9c6af4a7d0dbfde811e7a81"/>
    <x v="0"/>
    <n v="5"/>
    <n v="5"/>
    <n v="1002.9"/>
    <n v="4"/>
    <n v="80"/>
  </r>
  <r>
    <s v="c6a7539d424a8402232c2228d7a03c5e"/>
    <x v="0"/>
    <n v="10"/>
    <n v="15"/>
    <n v="1001.32"/>
    <n v="2.6"/>
    <n v="93.3"/>
  </r>
  <r>
    <s v="d4f117125b59ce73c3302f88ee40c458"/>
    <x v="0"/>
    <n v="17"/>
    <n v="17"/>
    <n v="998.61"/>
    <n v="4.82"/>
    <n v="100"/>
  </r>
  <r>
    <s v="3d621842b2ed28e2b474132480edac3c"/>
    <x v="0"/>
    <n v="8"/>
    <n v="8"/>
    <n v="997.14"/>
    <n v="4.63"/>
    <n v="100"/>
  </r>
  <r>
    <s v="e51f22821f0c12a16ad5c020cdcd55e9"/>
    <x v="0"/>
    <n v="4"/>
    <n v="4"/>
    <n v="996.84"/>
    <n v="4.75"/>
    <n v="100"/>
  </r>
  <r>
    <s v="fe1b067411b8c5066e962aa146ccee03"/>
    <x v="0"/>
    <n v="8"/>
    <n v="8"/>
    <n v="990.88"/>
    <n v="4.63"/>
    <n v="100"/>
  </r>
  <r>
    <s v="0aa2205ca24f113f4658a5c536667426"/>
    <x v="0"/>
    <n v="4"/>
    <n v="11"/>
    <n v="988.1"/>
    <n v="2.82"/>
    <n v="100"/>
  </r>
  <r>
    <s v="69b5eaa096c3f9d1e5c398c597f567d6"/>
    <x v="0"/>
    <n v="2"/>
    <n v="2"/>
    <n v="987.02"/>
    <n v="5"/>
    <n v="100"/>
  </r>
  <r>
    <s v="d9e7e7778b32987280a6f2cb9a39c57d"/>
    <x v="0"/>
    <n v="11"/>
    <n v="13"/>
    <n v="986.39"/>
    <n v="3.15"/>
    <n v="84.6"/>
  </r>
  <r>
    <s v="6f83d9e4da896daae20b9b6b2d3ff8d2"/>
    <x v="4"/>
    <n v="11"/>
    <n v="11"/>
    <n v="985.04"/>
    <n v="4.3600000000000003"/>
    <n v="100"/>
  </r>
  <r>
    <s v="b19c48688808720822399ffa9f2dbe2f"/>
    <x v="0"/>
    <n v="1"/>
    <n v="1"/>
    <n v="984.81"/>
    <n v="5"/>
    <n v="100"/>
  </r>
  <r>
    <s v="da6a60cc8cc724fe51be021ff8be779c"/>
    <x v="2"/>
    <n v="12"/>
    <n v="13"/>
    <n v="984.58"/>
    <n v="4.7699999999999996"/>
    <n v="100"/>
  </r>
  <r>
    <s v="39c763cca83e654764b7a4a650fb9b7c"/>
    <x v="12"/>
    <n v="11"/>
    <n v="11"/>
    <n v="984.21"/>
    <n v="3.82"/>
    <n v="81.8"/>
  </r>
  <r>
    <s v="808d4348b916efa08e766ebad39f61eb"/>
    <x v="0"/>
    <n v="20"/>
    <n v="20"/>
    <n v="981.54"/>
    <n v="4.5999999999999996"/>
    <n v="95"/>
  </r>
  <r>
    <s v="160e4f13fd3a64b1b86807be88b5ffb0"/>
    <x v="4"/>
    <n v="4"/>
    <n v="4"/>
    <n v="980.45"/>
    <n v="4.25"/>
    <n v="100"/>
  </r>
  <r>
    <s v="e9729944ba65dc3ce425e0c5a22ae7b2"/>
    <x v="2"/>
    <n v="4"/>
    <n v="4"/>
    <n v="978.43"/>
    <n v="3.75"/>
    <n v="75"/>
  </r>
  <r>
    <s v="297d5eccd19fa9a83b2630071ff105e4"/>
    <x v="4"/>
    <n v="8"/>
    <n v="8"/>
    <n v="976.73"/>
    <n v="5"/>
    <n v="100"/>
  </r>
  <r>
    <s v="5c3460cd3e8a984382ae254e7dd20d9f"/>
    <x v="0"/>
    <n v="9"/>
    <n v="10"/>
    <n v="974.3"/>
    <n v="4.7"/>
    <n v="100"/>
  </r>
  <r>
    <s v="ca77545ca4d2dfd1431bf61334e2fa3c"/>
    <x v="4"/>
    <n v="6"/>
    <n v="10"/>
    <n v="973.71"/>
    <n v="4.8"/>
    <n v="100"/>
  </r>
  <r>
    <s v="efff9341f3f8f5237b44ff67ed36a7bf"/>
    <x v="9"/>
    <n v="5"/>
    <n v="5"/>
    <n v="972.65"/>
    <n v="4.4000000000000004"/>
    <n v="100"/>
  </r>
  <r>
    <s v="41c2bad7229b0c25e6becf179ebf63ff"/>
    <x v="15"/>
    <n v="20"/>
    <n v="23"/>
    <n v="971.92"/>
    <n v="4.96"/>
    <n v="100"/>
  </r>
  <r>
    <s v="c8025364abeecb115431bf95c11a747f"/>
    <x v="8"/>
    <n v="2"/>
    <n v="2"/>
    <n v="971.28"/>
    <n v="4.5"/>
    <n v="100"/>
  </r>
  <r>
    <s v="c89cf7c468a48af70aada384e722f9e2"/>
    <x v="2"/>
    <n v="14"/>
    <n v="14"/>
    <n v="971.01"/>
    <n v="4"/>
    <n v="92.9"/>
  </r>
  <r>
    <s v="b5abf4f36adc043117b4fca82c22984c"/>
    <x v="10"/>
    <n v="8"/>
    <n v="9"/>
    <n v="969.94"/>
    <n v="2.89"/>
    <n v="66.7"/>
  </r>
  <r>
    <s v="b45d7ebfb7378630f1bcd74b6ff86ff7"/>
    <x v="3"/>
    <n v="3"/>
    <n v="3"/>
    <n v="968.14"/>
    <n v="4.33"/>
    <n v="100"/>
  </r>
  <r>
    <s v="562f8cfc51f265411f487d07e9c40e7f"/>
    <x v="3"/>
    <n v="13"/>
    <n v="13"/>
    <n v="966.25"/>
    <n v="4.54"/>
    <n v="92.3"/>
  </r>
  <r>
    <s v="e8a85b5f3df47be0984c55fd4064dbb4"/>
    <x v="10"/>
    <n v="8"/>
    <n v="14"/>
    <n v="965.99"/>
    <n v="4.71"/>
    <n v="85.7"/>
  </r>
  <r>
    <s v="d0d70d21e2234dd7cd3cf63fe414148a"/>
    <x v="11"/>
    <n v="8"/>
    <n v="9"/>
    <n v="964.99"/>
    <n v="4.22"/>
    <n v="100"/>
  </r>
  <r>
    <s v="68f86ba270525243e68ae74044f992b9"/>
    <x v="2"/>
    <n v="10"/>
    <n v="11"/>
    <n v="964.2"/>
    <n v="4.3600000000000003"/>
    <n v="100"/>
  </r>
  <r>
    <s v="b2c97074649f92197d9387d9033dda5f"/>
    <x v="0"/>
    <n v="10"/>
    <n v="11"/>
    <n v="964.08"/>
    <n v="4.6399999999999997"/>
    <n v="90.9"/>
  </r>
  <r>
    <s v="87d3c3aeb3ead335511b3ce315eb341e"/>
    <x v="0"/>
    <n v="15"/>
    <n v="15"/>
    <n v="963.06"/>
    <n v="3.5"/>
    <n v="93.3"/>
  </r>
  <r>
    <s v="ba5daa4041e1f15cdf34b76e3e18a450"/>
    <x v="0"/>
    <n v="15"/>
    <n v="15"/>
    <n v="959.35"/>
    <n v="4.2699999999999996"/>
    <n v="100"/>
  </r>
  <r>
    <s v="3492e68f37fd1df87f4f2f2ea247f445"/>
    <x v="0"/>
    <n v="8"/>
    <n v="9"/>
    <n v="957.26"/>
    <n v="3.56"/>
    <n v="100"/>
  </r>
  <r>
    <s v="17eea220a40cc0d2c0c5346379682398"/>
    <x v="0"/>
    <n v="3"/>
    <n v="3"/>
    <n v="951.98"/>
    <n v="3.67"/>
    <n v="33.299999999999997"/>
  </r>
  <r>
    <s v="6861de0f40cacb0602e473c51639f980"/>
    <x v="4"/>
    <n v="5"/>
    <n v="8"/>
    <n v="949.73"/>
    <n v="2.63"/>
    <n v="87.5"/>
  </r>
  <r>
    <s v="7dc9a3355bae96dd82008b313d3a456c"/>
    <x v="3"/>
    <n v="1"/>
    <n v="1"/>
    <n v="949.62"/>
    <n v="5"/>
    <n v="100"/>
  </r>
  <r>
    <s v="a1544b9ea0b2390e020537d4daa89049"/>
    <x v="0"/>
    <n v="8"/>
    <n v="8"/>
    <n v="948.53"/>
    <n v="3.88"/>
    <n v="100"/>
  </r>
  <r>
    <s v="6d22a1fcebb6dd08c9cd90b92a93e8d0"/>
    <x v="6"/>
    <n v="12"/>
    <n v="13"/>
    <n v="946.43"/>
    <n v="4.3099999999999996"/>
    <n v="100"/>
  </r>
  <r>
    <s v="8a40ae794fa3f9892cee24bd5af0488b"/>
    <x v="4"/>
    <n v="6"/>
    <n v="6"/>
    <n v="946.26"/>
    <n v="3.17"/>
    <n v="66.7"/>
  </r>
  <r>
    <s v="6b9b80d53ba3676eafe60268a810b5a1"/>
    <x v="0"/>
    <n v="9"/>
    <n v="9"/>
    <n v="941.21"/>
    <n v="4.22"/>
    <n v="100"/>
  </r>
  <r>
    <s v="e5cbe890e679490127e9a390b46bbd20"/>
    <x v="0"/>
    <n v="2"/>
    <n v="2"/>
    <n v="937.71"/>
    <n v="4.5"/>
    <n v="100"/>
  </r>
  <r>
    <s v="725af026f869236a8dd0ceb98564d156"/>
    <x v="3"/>
    <n v="5"/>
    <n v="5"/>
    <n v="936.67"/>
    <n v="4.4000000000000004"/>
    <n v="100"/>
  </r>
  <r>
    <s v="2b03ac196f5ed62ac483960fe0fa3b65"/>
    <x v="0"/>
    <n v="7"/>
    <n v="7"/>
    <n v="935.19"/>
    <n v="4.1399999999999997"/>
    <n v="85.7"/>
  </r>
  <r>
    <s v="a72c2f59332659e361d647515c698798"/>
    <x v="8"/>
    <n v="5"/>
    <n v="6"/>
    <n v="933.93"/>
    <n v="4.83"/>
    <n v="100"/>
  </r>
  <r>
    <s v="0d33a55da925bbf1ff02af5f6059fc7f"/>
    <x v="0"/>
    <n v="22"/>
    <n v="24"/>
    <n v="932.91"/>
    <n v="4.5"/>
    <n v="95.8"/>
  </r>
  <r>
    <s v="5a413ade68e8f8d93071a7f52a64cb9e"/>
    <x v="0"/>
    <n v="14"/>
    <n v="14"/>
    <n v="932.67"/>
    <n v="4.6399999999999997"/>
    <n v="92.9"/>
  </r>
  <r>
    <s v="6e864f5c4669eff3d98140a07cc50202"/>
    <x v="0"/>
    <n v="13"/>
    <n v="13"/>
    <n v="932.36"/>
    <n v="4.46"/>
    <n v="92.3"/>
  </r>
  <r>
    <s v="eba88037e1dca898cd02881f67ced679"/>
    <x v="0"/>
    <n v="6"/>
    <n v="6"/>
    <n v="931.57"/>
    <n v="4.33"/>
    <n v="83.3"/>
  </r>
  <r>
    <s v="52a52b9f656520e99716f5bc40f661c8"/>
    <x v="0"/>
    <n v="7"/>
    <n v="8"/>
    <n v="931.22"/>
    <n v="4.13"/>
    <n v="100"/>
  </r>
  <r>
    <s v="2c43fb513632d29b3b58df74816f1b06"/>
    <x v="3"/>
    <n v="3"/>
    <n v="3"/>
    <n v="930.17"/>
    <n v="3.67"/>
    <n v="100"/>
  </r>
  <r>
    <s v="e644cbadf7eeb30d0d29f335ce7d52ec"/>
    <x v="0"/>
    <n v="7"/>
    <n v="9"/>
    <n v="930.03"/>
    <n v="4"/>
    <n v="100"/>
  </r>
  <r>
    <s v="e1c76f339ebd5460999f25a2aa8c92c5"/>
    <x v="0"/>
    <n v="1"/>
    <n v="1"/>
    <n v="928.7"/>
    <n v="5"/>
    <n v="100"/>
  </r>
  <r>
    <s v="11eac105f3f90a9b87b19c89d91e24f3"/>
    <x v="0"/>
    <n v="5"/>
    <n v="5"/>
    <n v="927.83"/>
    <n v="3.6"/>
    <n v="100"/>
  </r>
  <r>
    <s v="32e5635e63cb374eb63afdd242fb6134"/>
    <x v="2"/>
    <n v="1"/>
    <n v="1"/>
    <n v="927.82"/>
    <n v="5"/>
    <n v="100"/>
  </r>
  <r>
    <s v="75a4764c108403a7a0575140cb22287c"/>
    <x v="8"/>
    <n v="5"/>
    <n v="9"/>
    <n v="927.05"/>
    <n v="4.78"/>
    <n v="100"/>
  </r>
  <r>
    <s v="1cd9e0cc1839d55516843def5600816d"/>
    <x v="0"/>
    <n v="5"/>
    <n v="5"/>
    <n v="926.72"/>
    <n v="5"/>
    <n v="100"/>
  </r>
  <r>
    <s v="14ee35374a7876217954b5fa08e50463"/>
    <x v="0"/>
    <n v="6"/>
    <n v="6"/>
    <n v="923.05"/>
    <n v="4.33"/>
    <n v="83.3"/>
  </r>
  <r>
    <s v="134b867a0f7f8bbe6abf10f91874891e"/>
    <x v="0"/>
    <n v="1"/>
    <n v="1"/>
    <n v="922.84"/>
    <n v="4"/>
    <n v="100"/>
  </r>
  <r>
    <s v="9c7fd21e0aa159b20da593371f08ff7c"/>
    <x v="0"/>
    <n v="7"/>
    <n v="8"/>
    <n v="921.8"/>
    <n v="3.38"/>
    <n v="87.5"/>
  </r>
  <r>
    <s v="4deebb3199eeafb282ae33229144f94b"/>
    <x v="0"/>
    <n v="4"/>
    <n v="5"/>
    <n v="921.49"/>
    <n v="3.4"/>
    <n v="60"/>
  </r>
  <r>
    <s v="a3b42d266fa8afc874b909422ce88582"/>
    <x v="0"/>
    <n v="1"/>
    <n v="6"/>
    <n v="921.24"/>
    <n v="5"/>
    <n v="100"/>
  </r>
  <r>
    <s v="024b564ae893ce8e9bfa02c10a401ece"/>
    <x v="0"/>
    <n v="2"/>
    <n v="8"/>
    <n v="918.4"/>
    <n v="4.75"/>
    <n v="100"/>
  </r>
  <r>
    <s v="c8cc60ffd415254af5d9b9f34f32c369"/>
    <x v="0"/>
    <n v="8"/>
    <n v="9"/>
    <n v="916.23"/>
    <n v="4.67"/>
    <n v="100"/>
  </r>
  <r>
    <s v="ba6b4a237f92479743cf0ca06b67a9ac"/>
    <x v="2"/>
    <n v="8"/>
    <n v="8"/>
    <n v="913.71"/>
    <n v="4.25"/>
    <n v="87.5"/>
  </r>
  <r>
    <s v="a1bea7061f61f6fdd9a85a6325ba1033"/>
    <x v="0"/>
    <n v="9"/>
    <n v="9"/>
    <n v="910.88"/>
    <n v="4.4400000000000004"/>
    <n v="88.9"/>
  </r>
  <r>
    <s v="1099a00e0ee3a50935e6c2447ca090c5"/>
    <x v="2"/>
    <n v="3"/>
    <n v="3"/>
    <n v="910.83"/>
    <n v="3.67"/>
    <n v="66.7"/>
  </r>
  <r>
    <s v="39d61be7a92eb77b7da367bd4845bc0e"/>
    <x v="0"/>
    <n v="7"/>
    <n v="14"/>
    <n v="909.62"/>
    <n v="4.21"/>
    <n v="100"/>
  </r>
  <r>
    <s v="7c51de0ab286204ce75ff42bf7c10d92"/>
    <x v="6"/>
    <n v="4"/>
    <n v="4"/>
    <n v="908.64"/>
    <n v="4.5"/>
    <n v="100"/>
  </r>
  <r>
    <s v="4c61e37f664c3c88aff092aa5ac779d7"/>
    <x v="2"/>
    <n v="7"/>
    <n v="8"/>
    <n v="908.17"/>
    <n v="4"/>
    <n v="75"/>
  </r>
  <r>
    <s v="d29ba1220fb8634fa3a107e54497b8a4"/>
    <x v="0"/>
    <n v="9"/>
    <n v="9"/>
    <n v="907.86"/>
    <n v="3.22"/>
    <n v="100"/>
  </r>
  <r>
    <s v="c00396cbdd2e088fe4281baa5920aef1"/>
    <x v="4"/>
    <n v="1"/>
    <n v="3"/>
    <n v="905.85"/>
    <n v="5"/>
    <n v="100"/>
  </r>
  <r>
    <s v="dc64d75cc406bb0697be983831430e60"/>
    <x v="3"/>
    <n v="4"/>
    <n v="4"/>
    <n v="905.55"/>
    <n v="4.75"/>
    <n v="100"/>
  </r>
  <r>
    <s v="49383af7ab774e4e8f3000f49c83dc4b"/>
    <x v="0"/>
    <n v="8"/>
    <n v="12"/>
    <n v="902.23"/>
    <n v="4.58"/>
    <n v="100"/>
  </r>
  <r>
    <s v="4ef4c39cf3c24f326434cf0b2e48046a"/>
    <x v="0"/>
    <n v="7"/>
    <n v="8"/>
    <n v="901.51"/>
    <n v="3.88"/>
    <n v="87.5"/>
  </r>
  <r>
    <s v="59cea8e446d3834393058e7e0666b6fb"/>
    <x v="4"/>
    <n v="10"/>
    <n v="10"/>
    <n v="901.14"/>
    <n v="4.5999999999999996"/>
    <n v="100"/>
  </r>
  <r>
    <s v="b16d3dadc47d4eb18be3d88bad0775ce"/>
    <x v="8"/>
    <n v="10"/>
    <n v="11"/>
    <n v="900.54"/>
    <n v="4.3600000000000003"/>
    <n v="100"/>
  </r>
  <r>
    <s v="28ea411b354f14b1a494be4e79f0ce02"/>
    <x v="0"/>
    <n v="6"/>
    <n v="6"/>
    <n v="896.93"/>
    <n v="4.67"/>
    <n v="100"/>
  </r>
  <r>
    <s v="365e4bce19bda0082c3d15d83fdb8bcd"/>
    <x v="0"/>
    <n v="6"/>
    <n v="7"/>
    <n v="895.02"/>
    <n v="4.71"/>
    <n v="100"/>
  </r>
  <r>
    <s v="ef30892870c278497523264be1be2241"/>
    <x v="0"/>
    <n v="9"/>
    <n v="9"/>
    <n v="892.54"/>
    <n v="4.5599999999999996"/>
    <n v="100"/>
  </r>
  <r>
    <s v="0d4c8269e7f0401201794deef160edd6"/>
    <x v="0"/>
    <n v="3"/>
    <n v="4"/>
    <n v="892.03"/>
    <n v="4"/>
    <n v="100"/>
  </r>
  <r>
    <s v="253f95b3a0e6983ae18aed49fbc2b845"/>
    <x v="0"/>
    <n v="5"/>
    <n v="5"/>
    <n v="890.94"/>
    <n v="4.4000000000000004"/>
    <n v="100"/>
  </r>
  <r>
    <s v="07de60b03d150fb3ea09eab5da5e4c8b"/>
    <x v="0"/>
    <n v="9"/>
    <n v="9"/>
    <n v="889"/>
    <n v="4.33"/>
    <n v="88.9"/>
  </r>
  <r>
    <s v="1430239a858e7682bbc43b20758af153"/>
    <x v="0"/>
    <n v="17"/>
    <n v="22"/>
    <n v="888.64"/>
    <n v="4"/>
    <n v="100"/>
  </r>
  <r>
    <s v="5acd070dd3fe441bbb2ec1f1ede515ee"/>
    <x v="0"/>
    <n v="7"/>
    <n v="8"/>
    <n v="886.37"/>
    <n v="2.75"/>
    <n v="62.5"/>
  </r>
  <r>
    <s v="9485a23c0430ba1d58d359391606fce6"/>
    <x v="0"/>
    <n v="4"/>
    <n v="4"/>
    <n v="885.86"/>
    <n v="3.75"/>
    <n v="75"/>
  </r>
  <r>
    <s v="5f06030071324cc52bf0304014ac7234"/>
    <x v="0"/>
    <n v="4"/>
    <n v="4"/>
    <n v="884.31"/>
    <n v="4"/>
    <n v="100"/>
  </r>
  <r>
    <s v="fd435faa3c0422b60440ea3480d0e77c"/>
    <x v="11"/>
    <n v="1"/>
    <n v="1"/>
    <n v="882.87"/>
    <n v="5"/>
    <n v="100"/>
  </r>
  <r>
    <s v="5996cddab893a4652a15592fb58ab8db"/>
    <x v="0"/>
    <n v="1"/>
    <n v="1"/>
    <n v="880.75"/>
    <n v="5"/>
    <n v="100"/>
  </r>
  <r>
    <s v="f435898e493ba0356019a0b1cb8b55b1"/>
    <x v="4"/>
    <n v="10"/>
    <n v="12"/>
    <n v="880.68"/>
    <n v="4.33"/>
    <n v="100"/>
  </r>
  <r>
    <s v="cd3d09fbe6e3e9ff0c0ac0c300e93ae7"/>
    <x v="0"/>
    <n v="12"/>
    <n v="12"/>
    <n v="880.23"/>
    <n v="4.17"/>
    <n v="91.7"/>
  </r>
  <r>
    <s v="80f2cf9abf6b5a0e5c612b5eea6646e6"/>
    <x v="0"/>
    <n v="6"/>
    <n v="6"/>
    <n v="879.92"/>
    <n v="5"/>
    <n v="83.3"/>
  </r>
  <r>
    <s v="014d9a685fd57276679edd00e07089e5"/>
    <x v="4"/>
    <n v="11"/>
    <n v="12"/>
    <n v="876.81"/>
    <n v="3.83"/>
    <n v="100"/>
  </r>
  <r>
    <s v="81783131d2a97c8d44d406a4be81b5d9"/>
    <x v="0"/>
    <n v="8"/>
    <n v="9"/>
    <n v="874.99"/>
    <n v="4.5599999999999996"/>
    <n v="100"/>
  </r>
  <r>
    <s v="ba6ce6de456f6c11d08c17701ba5c26f"/>
    <x v="0"/>
    <n v="6"/>
    <n v="7"/>
    <n v="874.51"/>
    <n v="3.71"/>
    <n v="100"/>
  </r>
  <r>
    <s v="7210cd29727d674c00741e5e387b3ccd"/>
    <x v="0"/>
    <n v="9"/>
    <n v="13"/>
    <n v="874.18"/>
    <n v="3.69"/>
    <n v="69.2"/>
  </r>
  <r>
    <s v="e560e4022d8f7aebf155db95946c5c0f"/>
    <x v="3"/>
    <n v="2"/>
    <n v="2"/>
    <n v="870.21"/>
    <n v="5"/>
    <n v="100"/>
  </r>
  <r>
    <s v="70bf57d811208f8923b41bbd499a67a4"/>
    <x v="0"/>
    <n v="7"/>
    <n v="7"/>
    <n v="869.73"/>
    <n v="4.1399999999999997"/>
    <n v="100"/>
  </r>
  <r>
    <s v="c6218512d16fcac0af02fe92691cf274"/>
    <x v="3"/>
    <n v="8"/>
    <n v="8"/>
    <n v="868.64"/>
    <n v="4.0599999999999996"/>
    <n v="100"/>
  </r>
  <r>
    <s v="8b87cd0d43d49b9bdf40f56229364d59"/>
    <x v="0"/>
    <n v="2"/>
    <n v="2"/>
    <n v="864.88"/>
    <n v="5"/>
    <n v="100"/>
  </r>
  <r>
    <s v="05a940b4ecae36cadfd8e93bd9c43257"/>
    <x v="12"/>
    <n v="9"/>
    <n v="9"/>
    <n v="864.1"/>
    <n v="4.22"/>
    <n v="100"/>
  </r>
  <r>
    <s v="458c6fa920810ce2492da71bc26d9eec"/>
    <x v="0"/>
    <n v="2"/>
    <n v="2"/>
    <n v="862.37"/>
    <n v="2.5"/>
    <n v="100"/>
  </r>
  <r>
    <s v="fe1bbc5feda5c8979a8a1b3b2512d5a6"/>
    <x v="3"/>
    <n v="9"/>
    <n v="10"/>
    <n v="862.25"/>
    <n v="3.8"/>
    <n v="90"/>
  </r>
  <r>
    <s v="9aa388272ee334b6ae07bc73706e254a"/>
    <x v="3"/>
    <n v="6"/>
    <n v="7"/>
    <n v="861.46"/>
    <n v="3.86"/>
    <n v="100"/>
  </r>
  <r>
    <s v="aac51c486b672a9850d59f3e84b1cf88"/>
    <x v="0"/>
    <n v="10"/>
    <n v="13"/>
    <n v="859.57"/>
    <n v="4.7699999999999996"/>
    <n v="100"/>
  </r>
  <r>
    <s v="52956b80ae65fda598f06f6b9943e7a9"/>
    <x v="4"/>
    <n v="3"/>
    <n v="3"/>
    <n v="858.85"/>
    <n v="4"/>
    <n v="66.7"/>
  </r>
  <r>
    <s v="3d68c634a99a1ba46dbca3967a69c623"/>
    <x v="6"/>
    <n v="2"/>
    <n v="2"/>
    <n v="857.7"/>
    <n v="5"/>
    <n v="100"/>
  </r>
  <r>
    <s v="6b15924333bd1a741595fe981ea04822"/>
    <x v="0"/>
    <n v="21"/>
    <n v="21"/>
    <n v="854.46"/>
    <n v="4.67"/>
    <n v="100"/>
  </r>
  <r>
    <s v="89a51f50b8095ea78d5768f34c13a76f"/>
    <x v="10"/>
    <n v="10"/>
    <n v="11"/>
    <n v="854.26"/>
    <n v="4.7300000000000004"/>
    <n v="100"/>
  </r>
  <r>
    <s v="bdae679a9b282249bc23b9b69dae9a99"/>
    <x v="10"/>
    <n v="6"/>
    <n v="12"/>
    <n v="851.98"/>
    <n v="3.5"/>
    <n v="100"/>
  </r>
  <r>
    <s v="ac6417315ae5da8f9a38ee11de6f7780"/>
    <x v="0"/>
    <n v="7"/>
    <n v="7"/>
    <n v="851.12"/>
    <n v="4.1399999999999997"/>
    <n v="85.7"/>
  </r>
  <r>
    <s v="3969863bb8af7f72580b3b1ffd3a17b3"/>
    <x v="0"/>
    <n v="12"/>
    <n v="13"/>
    <n v="850.02"/>
    <n v="4"/>
    <n v="100"/>
  </r>
  <r>
    <s v="4a1917ef994878940e1fb03eeb787ad7"/>
    <x v="10"/>
    <n v="2"/>
    <n v="3"/>
    <n v="846.62"/>
    <n v="2.67"/>
    <n v="100"/>
  </r>
  <r>
    <s v="be8e909810184b9b19e886129149d8e5"/>
    <x v="0"/>
    <n v="15"/>
    <n v="15"/>
    <n v="846.08"/>
    <n v="3.73"/>
    <n v="86.7"/>
  </r>
  <r>
    <s v="a2deecd5398f5df4987110c80a1972a3"/>
    <x v="0"/>
    <n v="13"/>
    <n v="13"/>
    <n v="845.8"/>
    <n v="4.2699999999999996"/>
    <n v="100"/>
  </r>
  <r>
    <s v="6bb62a4912377c7bfe7cb17b406bc7e6"/>
    <x v="0"/>
    <n v="4"/>
    <n v="6"/>
    <n v="845.39"/>
    <n v="4.5"/>
    <n v="100"/>
  </r>
  <r>
    <s v="9dc79dd988ac42f4d56c340d7048420a"/>
    <x v="0"/>
    <n v="4"/>
    <n v="4"/>
    <n v="843.93"/>
    <n v="4.75"/>
    <n v="100"/>
  </r>
  <r>
    <s v="da03c298e3999e9d828591fc2179d109"/>
    <x v="0"/>
    <n v="4"/>
    <n v="5"/>
    <n v="842.48"/>
    <n v="4.8"/>
    <n v="100"/>
  </r>
  <r>
    <s v="21c62b998a043ebe31161d38f84929fc"/>
    <x v="14"/>
    <n v="4"/>
    <n v="4"/>
    <n v="841.33"/>
    <n v="4.5"/>
    <n v="100"/>
  </r>
  <r>
    <s v="2ba91c7ad80ff88b23b7db823b43c233"/>
    <x v="0"/>
    <n v="6"/>
    <n v="6"/>
    <n v="840.33"/>
    <n v="3.83"/>
    <n v="83.3"/>
  </r>
  <r>
    <s v="e73bf2cea7fe4b0b4d287a7568ed1099"/>
    <x v="6"/>
    <n v="4"/>
    <n v="5"/>
    <n v="837.83"/>
    <n v="5"/>
    <n v="100"/>
  </r>
  <r>
    <s v="236585a4ddb5fea9fa40233e2249ed91"/>
    <x v="8"/>
    <n v="11"/>
    <n v="11"/>
    <n v="837.67"/>
    <n v="4.09"/>
    <n v="90.9"/>
  </r>
  <r>
    <s v="851773c885feb5e2da3b4f82bc2b17ce"/>
    <x v="0"/>
    <n v="10"/>
    <n v="10"/>
    <n v="837.13"/>
    <n v="4.2"/>
    <n v="80"/>
  </r>
  <r>
    <s v="7354220fb240bde543b3c40c060d41e7"/>
    <x v="10"/>
    <n v="7"/>
    <n v="7"/>
    <n v="837.13"/>
    <n v="4.57"/>
    <n v="100"/>
  </r>
  <r>
    <s v="43402bdf22aa2310e8f99e2f94f78628"/>
    <x v="0"/>
    <n v="4"/>
    <n v="5"/>
    <n v="837.1"/>
    <n v="2.8"/>
    <n v="100"/>
  </r>
  <r>
    <s v="5f7300535881cef3b625fd683cf7d145"/>
    <x v="8"/>
    <n v="10"/>
    <n v="11"/>
    <n v="836.83"/>
    <n v="4.45"/>
    <n v="100"/>
  </r>
  <r>
    <s v="6524b847b982cd56bb5d4b02b776ee42"/>
    <x v="0"/>
    <n v="1"/>
    <n v="2"/>
    <n v="834.94"/>
    <n v="4"/>
    <n v="0"/>
  </r>
  <r>
    <s v="f9eedec3129e8cc6b6429c42d0808c5b"/>
    <x v="2"/>
    <n v="2"/>
    <n v="2"/>
    <n v="833.15"/>
    <n v="4.5"/>
    <n v="100"/>
  </r>
  <r>
    <s v="ba6b68b55fe8704377a7d43c8e5c0185"/>
    <x v="3"/>
    <n v="5"/>
    <n v="5"/>
    <n v="832.22"/>
    <n v="4.2"/>
    <n v="100"/>
  </r>
  <r>
    <s v="2305ab43e846518f58dd9d59f3f54e96"/>
    <x v="0"/>
    <n v="3"/>
    <n v="3"/>
    <n v="831.26"/>
    <n v="3.67"/>
    <n v="100"/>
  </r>
  <r>
    <s v="11742f81550ac064cc9a40f67151d9ad"/>
    <x v="0"/>
    <n v="2"/>
    <n v="2"/>
    <n v="831.01"/>
    <n v="5"/>
    <n v="100"/>
  </r>
  <r>
    <s v="ad273c9eb54ecb4532de4bf75bae9e4e"/>
    <x v="4"/>
    <n v="10"/>
    <n v="11"/>
    <n v="829.75"/>
    <n v="3.82"/>
    <n v="100"/>
  </r>
  <r>
    <s v="de09d00cfc265b8804c7df34075a68fa"/>
    <x v="0"/>
    <n v="3"/>
    <n v="3"/>
    <n v="827.97"/>
    <n v="3.33"/>
    <n v="100"/>
  </r>
  <r>
    <s v="55c26bcb609f480eb7868594245febb5"/>
    <x v="0"/>
    <n v="6"/>
    <n v="6"/>
    <n v="826.23"/>
    <n v="4"/>
    <n v="100"/>
  </r>
  <r>
    <s v="bd1d49a326abfa9b1036772e40445430"/>
    <x v="0"/>
    <n v="12"/>
    <n v="13"/>
    <n v="826.2"/>
    <n v="3.85"/>
    <n v="92.3"/>
  </r>
  <r>
    <s v="a56e351445e5863fc8960640ba9190c7"/>
    <x v="6"/>
    <n v="3"/>
    <n v="4"/>
    <n v="825.98"/>
    <n v="4.25"/>
    <n v="100"/>
  </r>
  <r>
    <s v="c7fdb77fdbff3c41981bc52f787e959e"/>
    <x v="0"/>
    <n v="9"/>
    <n v="11"/>
    <n v="825.16"/>
    <n v="3.55"/>
    <n v="90.9"/>
  </r>
  <r>
    <s v="94231344608e603693b0a8891143f65d"/>
    <x v="0"/>
    <n v="3"/>
    <n v="3"/>
    <n v="824.18"/>
    <n v="4"/>
    <n v="100"/>
  </r>
  <r>
    <s v="5ef131ac72773e5b3f6c0d63cf424657"/>
    <x v="0"/>
    <n v="10"/>
    <n v="11"/>
    <n v="821.99"/>
    <n v="3.82"/>
    <n v="100"/>
  </r>
  <r>
    <s v="13f57c12a00ed4610db646b913a7f5c6"/>
    <x v="0"/>
    <n v="7"/>
    <n v="13"/>
    <n v="821.15"/>
    <n v="4.7699999999999996"/>
    <n v="84.6"/>
  </r>
  <r>
    <s v="0d83f8e03188682112cc0d93523705cc"/>
    <x v="8"/>
    <n v="4"/>
    <n v="8"/>
    <n v="820.57"/>
    <n v="2.75"/>
    <n v="50"/>
  </r>
  <r>
    <s v="2063dd1b9f568df1c16741ea7d3e6adb"/>
    <x v="4"/>
    <n v="3"/>
    <n v="3"/>
    <n v="820.27"/>
    <n v="5"/>
    <n v="100"/>
  </r>
  <r>
    <s v="9535a841eecebed61a9fb1ac1cbb5597"/>
    <x v="0"/>
    <n v="2"/>
    <n v="2"/>
    <n v="818.33"/>
    <n v="3"/>
    <n v="100"/>
  </r>
  <r>
    <s v="8d46553a36e68f95350a200c12f8f2e2"/>
    <x v="0"/>
    <n v="9"/>
    <n v="11"/>
    <n v="817.21"/>
    <n v="4.09"/>
    <n v="100"/>
  </r>
  <r>
    <s v="ed8cb7b190ceb6067227478e48cf8dde"/>
    <x v="0"/>
    <n v="15"/>
    <n v="17"/>
    <n v="816.21"/>
    <n v="3.18"/>
    <n v="94.1"/>
  </r>
  <r>
    <s v="8e29d051f810eb22959ede205b462b9f"/>
    <x v="0"/>
    <n v="2"/>
    <n v="2"/>
    <n v="813.28"/>
    <n v="4"/>
    <n v="50"/>
  </r>
  <r>
    <s v="191d55f7edb8524d525ed01b20fe32e8"/>
    <x v="10"/>
    <n v="3"/>
    <n v="3"/>
    <n v="812.8"/>
    <n v="2.33"/>
    <n v="66.7"/>
  </r>
  <r>
    <s v="a254c682cc01e119f83530446f1df9a9"/>
    <x v="0"/>
    <n v="6"/>
    <n v="7"/>
    <n v="809.42"/>
    <n v="4.1399999999999997"/>
    <n v="85.7"/>
  </r>
  <r>
    <s v="0a85ebe4e328db81ac9109781205e2f7"/>
    <x v="0"/>
    <n v="12"/>
    <n v="12"/>
    <n v="805.65"/>
    <n v="4.58"/>
    <n v="91.7"/>
  </r>
  <r>
    <s v="638cba8be1fb599bbb76fd6948351eb3"/>
    <x v="0"/>
    <n v="16"/>
    <n v="22"/>
    <n v="803.67"/>
    <n v="4.7300000000000004"/>
    <n v="100"/>
  </r>
  <r>
    <s v="38e6dada03429a47197d5d584d793b41"/>
    <x v="0"/>
    <n v="7"/>
    <n v="12"/>
    <n v="803.05"/>
    <n v="3.33"/>
    <n v="100"/>
  </r>
  <r>
    <s v="d79e8478eed9999493990b44955fb22e"/>
    <x v="2"/>
    <n v="5"/>
    <n v="5"/>
    <n v="802.61"/>
    <n v="4"/>
    <n v="80"/>
  </r>
  <r>
    <s v="fac35d150712afb921ec59ac5f39bb11"/>
    <x v="3"/>
    <n v="5"/>
    <n v="6"/>
    <n v="800.64"/>
    <n v="4.17"/>
    <n v="100"/>
  </r>
  <r>
    <s v="179d859f51292aac5c10806a356f7af9"/>
    <x v="0"/>
    <n v="18"/>
    <n v="19"/>
    <n v="800.27"/>
    <n v="4.32"/>
    <n v="94.7"/>
  </r>
  <r>
    <s v="8d899e15a5925f097cca50faa49b15e3"/>
    <x v="0"/>
    <n v="4"/>
    <n v="10"/>
    <n v="795.98"/>
    <n v="2.5"/>
    <n v="40"/>
  </r>
  <r>
    <s v="8759e7aedd644f487315e5860962f162"/>
    <x v="0"/>
    <n v="3"/>
    <n v="3"/>
    <n v="793.34"/>
    <n v="3.67"/>
    <n v="66.7"/>
  </r>
  <r>
    <s v="56db5c0782e8f7ddc9343f9576ff6d16"/>
    <x v="6"/>
    <n v="2"/>
    <n v="2"/>
    <n v="791.95"/>
    <n v="3"/>
    <n v="100"/>
  </r>
  <r>
    <s v="6cf476a4ca74498db55cbccdaa9dcfb6"/>
    <x v="0"/>
    <n v="5"/>
    <n v="6"/>
    <n v="791.6"/>
    <n v="3"/>
    <n v="66.7"/>
  </r>
  <r>
    <s v="2059c39f76271d4ca3f15b5ffaccc8b8"/>
    <x v="4"/>
    <n v="12"/>
    <n v="12"/>
    <n v="791.29"/>
    <n v="4.5"/>
    <n v="100"/>
  </r>
  <r>
    <s v="1d29dfba02015238dfbe2449a5eaa361"/>
    <x v="3"/>
    <n v="12"/>
    <n v="12"/>
    <n v="789.92"/>
    <n v="4.5"/>
    <n v="91.7"/>
  </r>
  <r>
    <s v="cf654707ed6a99f112c7ec3d6f314b8b"/>
    <x v="0"/>
    <n v="3"/>
    <n v="4"/>
    <n v="789.54"/>
    <n v="4.75"/>
    <n v="100"/>
  </r>
  <r>
    <s v="b7ed9fb14c8eadb37adb9c45d67ab0fb"/>
    <x v="0"/>
    <n v="7"/>
    <n v="11"/>
    <n v="787.75"/>
    <n v="2.91"/>
    <n v="100"/>
  </r>
  <r>
    <s v="e4ebd3f87bf70440014f07ddda7fbe03"/>
    <x v="0"/>
    <n v="7"/>
    <n v="7"/>
    <n v="787.26"/>
    <n v="4.57"/>
    <n v="100"/>
  </r>
  <r>
    <s v="8c91bfea4263b8fba54081460693e2a1"/>
    <x v="8"/>
    <n v="2"/>
    <n v="2"/>
    <n v="785.75"/>
    <n v="5"/>
    <n v="100"/>
  </r>
  <r>
    <s v="5bba18b40e8c973b0f32e748004775b0"/>
    <x v="0"/>
    <n v="1"/>
    <n v="1"/>
    <n v="784.8"/>
    <n v="5"/>
    <n v="100"/>
  </r>
  <r>
    <s v="e6a69c4a27dfdd98ffe5aa757ad744bc"/>
    <x v="0"/>
    <n v="21"/>
    <n v="23"/>
    <n v="784.34"/>
    <n v="4.3"/>
    <n v="100"/>
  </r>
  <r>
    <s v="6824a69c9ea0313eba299dd4a2dba09a"/>
    <x v="3"/>
    <n v="6"/>
    <n v="7"/>
    <n v="784.08"/>
    <n v="4.71"/>
    <n v="100"/>
  </r>
  <r>
    <s v="0b36063d5818f81ccb94b54adfaebbf5"/>
    <x v="6"/>
    <n v="1"/>
    <n v="15"/>
    <n v="783"/>
    <n v="5"/>
    <n v="100"/>
  </r>
  <r>
    <s v="d558ebe531605a1285ab2b1bc3256dfb"/>
    <x v="3"/>
    <n v="3"/>
    <n v="3"/>
    <n v="782.23"/>
    <n v="4.67"/>
    <n v="100"/>
  </r>
  <r>
    <s v="2aa3443d7bf9d9bb11133f420d75e083"/>
    <x v="2"/>
    <n v="10"/>
    <n v="10"/>
    <n v="781.12"/>
    <n v="3"/>
    <n v="80"/>
  </r>
  <r>
    <s v="b4b447d715f9ab302a188fb43d3e96b3"/>
    <x v="0"/>
    <n v="5"/>
    <n v="5"/>
    <n v="779.66"/>
    <n v="4.8"/>
    <n v="100"/>
  </r>
  <r>
    <s v="6e1862e15f33d9994bc25922a85e1efc"/>
    <x v="0"/>
    <n v="7"/>
    <n v="12"/>
    <n v="779.32"/>
    <n v="4.67"/>
    <n v="100"/>
  </r>
  <r>
    <s v="7b98de631987e26dd6d803490c43a13c"/>
    <x v="4"/>
    <n v="8"/>
    <n v="8"/>
    <n v="778.63"/>
    <n v="4.63"/>
    <n v="100"/>
  </r>
  <r>
    <s v="c447f8dd3ed213f291d65ef074a268eb"/>
    <x v="0"/>
    <n v="7"/>
    <n v="8"/>
    <n v="777.23"/>
    <n v="3.88"/>
    <n v="100"/>
  </r>
  <r>
    <s v="b64d51f0435e884e8de603b1655155ae"/>
    <x v="0"/>
    <n v="17"/>
    <n v="23"/>
    <n v="773.54"/>
    <n v="4.13"/>
    <n v="82.6"/>
  </r>
  <r>
    <s v="54aa8463e87776b5612f4bdc4bd5d4de"/>
    <x v="3"/>
    <n v="7"/>
    <n v="7"/>
    <n v="772.83"/>
    <n v="3.86"/>
    <n v="100"/>
  </r>
  <r>
    <s v="26af45f5dfd967225a832838aa4e24a3"/>
    <x v="4"/>
    <n v="10"/>
    <n v="11"/>
    <n v="771.61"/>
    <n v="4.18"/>
    <n v="100"/>
  </r>
  <r>
    <s v="b0398568231ba5e6734af1881671a317"/>
    <x v="9"/>
    <n v="4"/>
    <n v="4"/>
    <n v="770.12"/>
    <n v="4"/>
    <n v="100"/>
  </r>
  <r>
    <s v="228e4c1a0be164f613d41c24345f9d2c"/>
    <x v="4"/>
    <n v="5"/>
    <n v="5"/>
    <n v="769.44"/>
    <n v="5"/>
    <n v="100"/>
  </r>
  <r>
    <s v="f3295428338a40977a03f555246a70f4"/>
    <x v="9"/>
    <n v="7"/>
    <n v="7"/>
    <n v="769.38"/>
    <n v="3.57"/>
    <n v="85.7"/>
  </r>
  <r>
    <s v="768a86e36ad6aae3d03ee3c6433d61df"/>
    <x v="0"/>
    <n v="17"/>
    <n v="17"/>
    <n v="767.7"/>
    <n v="4.6500000000000004"/>
    <n v="88.2"/>
  </r>
  <r>
    <s v="61c36f0fc4a47f9532e5512b66668e62"/>
    <x v="0"/>
    <n v="1"/>
    <n v="1"/>
    <n v="767.69"/>
    <n v="1"/>
    <n v="100"/>
  </r>
  <r>
    <s v="2dd1fb6f0e42a2243b8a01e40cd41216"/>
    <x v="4"/>
    <n v="3"/>
    <n v="4"/>
    <n v="767.32"/>
    <n v="3"/>
    <n v="100"/>
  </r>
  <r>
    <s v="5962468f885ea01a1b6a97a218797b0a"/>
    <x v="4"/>
    <n v="6"/>
    <n v="6"/>
    <n v="765.74"/>
    <n v="4.67"/>
    <n v="100"/>
  </r>
  <r>
    <s v="9cad4b68bb993ee401a3c5aaa2bc26dd"/>
    <x v="0"/>
    <n v="5"/>
    <n v="7"/>
    <n v="763.33"/>
    <n v="3.43"/>
    <n v="85.7"/>
  </r>
  <r>
    <s v="9d5604a1f112324ad6b2aa552122e0fb"/>
    <x v="0"/>
    <n v="13"/>
    <n v="17"/>
    <n v="761.98"/>
    <n v="3.65"/>
    <n v="100"/>
  </r>
  <r>
    <s v="2fb25ab44bdbeae6a4d816e0d0c9d500"/>
    <x v="2"/>
    <n v="5"/>
    <n v="5"/>
    <n v="761.29"/>
    <n v="4.8"/>
    <n v="100"/>
  </r>
  <r>
    <s v="72c38a04bd6a1c3dbc5298425a0db86d"/>
    <x v="4"/>
    <n v="4"/>
    <n v="5"/>
    <n v="760.65"/>
    <n v="3.8"/>
    <n v="100"/>
  </r>
  <r>
    <s v="07d75e33f2750d97d467fb57e4dfdd8a"/>
    <x v="0"/>
    <n v="2"/>
    <n v="2"/>
    <n v="759.59"/>
    <n v="2.5"/>
    <n v="100"/>
  </r>
  <r>
    <s v="ac51cac5e20d69ff485a54746488ef48"/>
    <x v="0"/>
    <n v="3"/>
    <n v="3"/>
    <n v="758.7"/>
    <n v="3.67"/>
    <n v="100"/>
  </r>
  <r>
    <s v="01c97ebb5cdac52891c0ed1c37ba0012"/>
    <x v="0"/>
    <n v="9"/>
    <n v="12"/>
    <n v="756"/>
    <n v="4.08"/>
    <n v="100"/>
  </r>
  <r>
    <s v="acf974e4d5950ad143a247471b831eb9"/>
    <x v="8"/>
    <n v="5"/>
    <n v="12"/>
    <n v="753.62"/>
    <n v="4.8"/>
    <n v="100"/>
  </r>
  <r>
    <s v="6c99c983ce3b6ba0ab813e6790e81691"/>
    <x v="3"/>
    <n v="9"/>
    <n v="9"/>
    <n v="752.51"/>
    <n v="3.78"/>
    <n v="100"/>
  </r>
  <r>
    <s v="2f09f7d37a97956d11cc1a7cadd5262b"/>
    <x v="0"/>
    <n v="7"/>
    <n v="8"/>
    <n v="751.91"/>
    <n v="4.13"/>
    <n v="87.5"/>
  </r>
  <r>
    <s v="0570350b23eda5444f8d1d9544932058"/>
    <x v="0"/>
    <n v="6"/>
    <n v="11"/>
    <n v="751.76"/>
    <n v="5"/>
    <n v="100"/>
  </r>
  <r>
    <s v="3d3ccf2b2f8134b10dce9dd446f0e075"/>
    <x v="0"/>
    <n v="3"/>
    <n v="3"/>
    <n v="750.53"/>
    <n v="3.33"/>
    <n v="66.7"/>
  </r>
  <r>
    <s v="6e0908ef4d4efadbc3cc2b74ea477cb0"/>
    <x v="2"/>
    <n v="8"/>
    <n v="11"/>
    <n v="750.28"/>
    <n v="4.09"/>
    <n v="90.9"/>
  </r>
  <r>
    <s v="262237171f48e85819065498cac80d7b"/>
    <x v="6"/>
    <n v="4"/>
    <n v="10"/>
    <n v="749"/>
    <n v="4.3"/>
    <n v="100"/>
  </r>
  <r>
    <s v="02b72cdeb9cfcc429f1af6f4e3f3b737"/>
    <x v="0"/>
    <n v="4"/>
    <n v="4"/>
    <n v="748.64"/>
    <n v="4.75"/>
    <n v="100"/>
  </r>
  <r>
    <s v="916748bc99315c2d202898ae58b1617e"/>
    <x v="0"/>
    <n v="25"/>
    <n v="32"/>
    <n v="746.51"/>
    <n v="4.34"/>
    <n v="100"/>
  </r>
  <r>
    <s v="95b293867b5862941c9cd74f756a3c68"/>
    <x v="0"/>
    <n v="9"/>
    <n v="9"/>
    <n v="746.22"/>
    <n v="3.56"/>
    <n v="55.6"/>
  </r>
  <r>
    <s v="26bad72add1f86e08a776ce4ffdaf1ca"/>
    <x v="0"/>
    <n v="7"/>
    <n v="7"/>
    <n v="745.92"/>
    <n v="4.43"/>
    <n v="100"/>
  </r>
  <r>
    <s v="aae5e7b457a3c72ee230a47d98fceda5"/>
    <x v="4"/>
    <n v="5"/>
    <n v="7"/>
    <n v="745.57"/>
    <n v="4.1399999999999997"/>
    <n v="100"/>
  </r>
  <r>
    <s v="d9cd369bffa979d1634f8e1318bf2f1b"/>
    <x v="0"/>
    <n v="3"/>
    <n v="3"/>
    <n v="744.81"/>
    <n v="5"/>
    <n v="100"/>
  </r>
  <r>
    <s v="f52c2422904463fdd7741f99045fecb6"/>
    <x v="0"/>
    <n v="12"/>
    <n v="13"/>
    <n v="744.8"/>
    <n v="4.3099999999999996"/>
    <n v="100"/>
  </r>
  <r>
    <s v="3ef37b7ca6dd2b80bd8af81a62504996"/>
    <x v="0"/>
    <n v="2"/>
    <n v="2"/>
    <n v="740.97"/>
    <n v="4.5"/>
    <n v="100"/>
  </r>
  <r>
    <s v="4e6015589b781adaa5ce7f1892d06bb1"/>
    <x v="0"/>
    <n v="3"/>
    <n v="3"/>
    <n v="740.5"/>
    <n v="3.67"/>
    <n v="100"/>
  </r>
  <r>
    <s v="c522be04e020c1e7b79f3acff36513d5"/>
    <x v="0"/>
    <n v="6"/>
    <n v="6"/>
    <n v="740.42"/>
    <n v="4"/>
    <n v="66.7"/>
  </r>
  <r>
    <s v="6d988d6174a2c27441597174f8905515"/>
    <x v="4"/>
    <n v="19"/>
    <n v="23"/>
    <n v="737.2"/>
    <n v="4.26"/>
    <n v="91.3"/>
  </r>
  <r>
    <s v="11938fcc75f6902fea1d0a6f72b54a57"/>
    <x v="6"/>
    <n v="2"/>
    <n v="2"/>
    <n v="737.14"/>
    <n v="3"/>
    <n v="100"/>
  </r>
  <r>
    <s v="ab3e0c171fe84a7ba7de130f19cfb485"/>
    <x v="4"/>
    <n v="6"/>
    <n v="7"/>
    <n v="736.33"/>
    <n v="4.1399999999999997"/>
    <n v="71.400000000000006"/>
  </r>
  <r>
    <s v="328acb143b4a73aad6bee8e734f5d20d"/>
    <x v="4"/>
    <n v="2"/>
    <n v="2"/>
    <n v="734.75"/>
    <n v="4"/>
    <n v="100"/>
  </r>
  <r>
    <s v="b274baf5bbd142410eb2958cf685d684"/>
    <x v="8"/>
    <n v="7"/>
    <n v="7"/>
    <n v="734.57"/>
    <n v="4.29"/>
    <n v="100"/>
  </r>
  <r>
    <s v="be3b4b0f050a6aa1b2d901c4b77e979f"/>
    <x v="4"/>
    <n v="3"/>
    <n v="8"/>
    <n v="733.72"/>
    <n v="2.75"/>
    <n v="100"/>
  </r>
  <r>
    <s v="39a5005f2605cbdb4f9ac14485cabfd1"/>
    <x v="0"/>
    <n v="3"/>
    <n v="8"/>
    <n v="733.66"/>
    <n v="5"/>
    <n v="100"/>
  </r>
  <r>
    <s v="8a207b6080964f3c1fc9d35bd6096ba4"/>
    <x v="0"/>
    <n v="2"/>
    <n v="3"/>
    <n v="730.04"/>
    <n v="5"/>
    <n v="66.7"/>
  </r>
  <r>
    <s v="052577151711aec5c744fe12e66db3e1"/>
    <x v="6"/>
    <n v="1"/>
    <n v="1"/>
    <n v="729.65"/>
    <n v="5"/>
    <n v="100"/>
  </r>
  <r>
    <s v="eb5b6204dde3a6e03b5f1bb8479f055b"/>
    <x v="0"/>
    <n v="19"/>
    <n v="21"/>
    <n v="727.33"/>
    <n v="3.86"/>
    <n v="95.2"/>
  </r>
  <r>
    <s v="38102b031c2a15e54623d711bfc753d3"/>
    <x v="14"/>
    <n v="8"/>
    <n v="10"/>
    <n v="726.21"/>
    <n v="3.9"/>
    <n v="100"/>
  </r>
  <r>
    <s v="b12cfd255810394b60caef18ae163547"/>
    <x v="4"/>
    <n v="2"/>
    <n v="2"/>
    <n v="726.15"/>
    <n v="4.5"/>
    <n v="100"/>
  </r>
  <r>
    <s v="2f74af7a0ee5636f12c2336f9fffed47"/>
    <x v="0"/>
    <n v="13"/>
    <n v="13"/>
    <n v="724.47"/>
    <n v="4.3099999999999996"/>
    <n v="100"/>
  </r>
  <r>
    <s v="bfd938b22bc99bce1ae60dc602889f52"/>
    <x v="2"/>
    <n v="4"/>
    <n v="6"/>
    <n v="723.87"/>
    <n v="5"/>
    <n v="100"/>
  </r>
  <r>
    <s v="68ca56ce86830f3d31b1b7ec6a54da3e"/>
    <x v="4"/>
    <n v="5"/>
    <n v="5"/>
    <n v="723.03"/>
    <n v="4"/>
    <n v="100"/>
  </r>
  <r>
    <s v="c157bdeedcbc9a8e3c8bf0d87ff24428"/>
    <x v="0"/>
    <n v="7"/>
    <n v="10"/>
    <n v="722.97"/>
    <n v="4.5"/>
    <n v="100"/>
  </r>
  <r>
    <s v="1d503743d2526f03f0c2c89540ee008c"/>
    <x v="0"/>
    <n v="12"/>
    <n v="17"/>
    <n v="720.53"/>
    <n v="4.24"/>
    <n v="94.1"/>
  </r>
  <r>
    <s v="525e75a6fb1454a2325ab1734bcec221"/>
    <x v="0"/>
    <n v="9"/>
    <n v="10"/>
    <n v="719.39"/>
    <n v="4"/>
    <n v="100"/>
  </r>
  <r>
    <s v="9c1c0c36cd23c20897e473901a8fb149"/>
    <x v="0"/>
    <n v="6"/>
    <n v="7"/>
    <n v="717.04"/>
    <n v="5"/>
    <n v="100"/>
  </r>
  <r>
    <s v="1b4b28463457a256e9a784ebe2a8f630"/>
    <x v="0"/>
    <n v="1"/>
    <n v="1"/>
    <n v="715.34"/>
    <n v="1"/>
    <n v="0"/>
  </r>
  <r>
    <s v="5d043cd5512d4bd2f88e5ccdd5736c38"/>
    <x v="0"/>
    <n v="1"/>
    <n v="1"/>
    <n v="714.91"/>
    <n v="2"/>
    <n v="100"/>
  </r>
  <r>
    <s v="5a6a02f419701fc8c605af71d4fc57a4"/>
    <x v="0"/>
    <n v="10"/>
    <n v="11"/>
    <n v="714.41"/>
    <n v="4.82"/>
    <n v="90.9"/>
  </r>
  <r>
    <s v="a513150f33f99a06569e9cd5c4bb889b"/>
    <x v="0"/>
    <n v="2"/>
    <n v="2"/>
    <n v="711.25"/>
    <n v="4.5"/>
    <n v="100"/>
  </r>
  <r>
    <s v="8c0de775f52fe41590b376a3b7c50f68"/>
    <x v="0"/>
    <n v="8"/>
    <n v="8"/>
    <n v="707.52"/>
    <n v="4.25"/>
    <n v="100"/>
  </r>
  <r>
    <s v="cb9fb4ca75d7ba8437480e8dde64fe98"/>
    <x v="0"/>
    <n v="10"/>
    <n v="10"/>
    <n v="705.56"/>
    <n v="4"/>
    <n v="100"/>
  </r>
  <r>
    <s v="4de6e4ba574aa9dfdc824bc44dc47fdd"/>
    <x v="4"/>
    <n v="14"/>
    <n v="14"/>
    <n v="704.42"/>
    <n v="4.07"/>
    <n v="92.9"/>
  </r>
  <r>
    <s v="e601b04acf48b4576e73ddca9481f0dc"/>
    <x v="0"/>
    <n v="15"/>
    <n v="16"/>
    <n v="702.94"/>
    <n v="3.88"/>
    <n v="100"/>
  </r>
  <r>
    <s v="3f9be91358837bff69df67edfa3e42e8"/>
    <x v="4"/>
    <n v="7"/>
    <n v="7"/>
    <n v="702.06"/>
    <n v="4.43"/>
    <n v="100"/>
  </r>
  <r>
    <s v="c84592044b180dec206770c38603814b"/>
    <x v="0"/>
    <n v="14"/>
    <n v="14"/>
    <n v="700.97"/>
    <n v="4.43"/>
    <n v="100"/>
  </r>
  <r>
    <s v="8a87611c08849ffeeccab52aa798b6c7"/>
    <x v="4"/>
    <n v="6"/>
    <n v="6"/>
    <n v="700.95"/>
    <n v="4.67"/>
    <n v="100"/>
  </r>
  <r>
    <s v="d94ba08b99bedd6a5f6c875ecc4a6fac"/>
    <x v="4"/>
    <n v="8"/>
    <n v="9"/>
    <n v="700.7"/>
    <n v="4.78"/>
    <n v="100"/>
  </r>
  <r>
    <s v="7a91bf945c6fae0779f1c61ce97fe45c"/>
    <x v="2"/>
    <n v="4"/>
    <n v="4"/>
    <n v="699.77"/>
    <n v="4.5"/>
    <n v="75"/>
  </r>
  <r>
    <s v="89ad3263c0931c47f976d7c5778e60f6"/>
    <x v="0"/>
    <n v="6"/>
    <n v="6"/>
    <n v="699.74"/>
    <n v="4.17"/>
    <n v="100"/>
  </r>
  <r>
    <s v="b44dbfbf62e52125f3c15d230569ea91"/>
    <x v="0"/>
    <n v="4"/>
    <n v="8"/>
    <n v="699.06"/>
    <n v="4.38"/>
    <n v="100"/>
  </r>
  <r>
    <s v="1961c3e1272bfeceb05d0b78b5bbfdaf"/>
    <x v="0"/>
    <n v="2"/>
    <n v="3"/>
    <n v="696.01"/>
    <n v="4.67"/>
    <n v="100"/>
  </r>
  <r>
    <s v="6e4a902d1054e4e17aa6eab87fac1c75"/>
    <x v="0"/>
    <n v="7"/>
    <n v="8"/>
    <n v="695.7"/>
    <n v="4.25"/>
    <n v="87.5"/>
  </r>
  <r>
    <s v="c53bcd3be457a342a97e39e5a9f0be22"/>
    <x v="21"/>
    <n v="5"/>
    <n v="5"/>
    <n v="695.59"/>
    <n v="3.2"/>
    <n v="100"/>
  </r>
  <r>
    <s v="b26741d31a563d769b4af0465ab20c56"/>
    <x v="6"/>
    <n v="2"/>
    <n v="2"/>
    <n v="695.03"/>
    <n v="4"/>
    <n v="100"/>
  </r>
  <r>
    <s v="af7cdac9d9897cddead9c6b08976c642"/>
    <x v="0"/>
    <n v="6"/>
    <n v="6"/>
    <n v="694.01"/>
    <n v="3.67"/>
    <n v="83.3"/>
  </r>
  <r>
    <s v="c458e2045a8aa8964f8879af03fdcce6"/>
    <x v="0"/>
    <n v="4"/>
    <n v="9"/>
    <n v="691.7"/>
    <n v="3.11"/>
    <n v="100"/>
  </r>
  <r>
    <s v="4be6b962d83299498bae2190f95d6566"/>
    <x v="0"/>
    <n v="11"/>
    <n v="12"/>
    <n v="691.09"/>
    <n v="4.18"/>
    <n v="91.7"/>
  </r>
  <r>
    <s v="270d3ef21830ad0ecf3a6c53d08a533a"/>
    <x v="0"/>
    <n v="5"/>
    <n v="17"/>
    <n v="688.61"/>
    <n v="2.29"/>
    <n v="100"/>
  </r>
  <r>
    <s v="3be5841cdcc46de4ed3f9116f104b2c5"/>
    <x v="0"/>
    <n v="4"/>
    <n v="4"/>
    <n v="687.95"/>
    <n v="4.75"/>
    <n v="100"/>
  </r>
  <r>
    <s v="c33a5c3c983090c8b78a28e65052a20d"/>
    <x v="6"/>
    <n v="8"/>
    <n v="8"/>
    <n v="687.33"/>
    <n v="4.13"/>
    <n v="100"/>
  </r>
  <r>
    <s v="70b52a4cfc823994561b00bad161b4ed"/>
    <x v="0"/>
    <n v="8"/>
    <n v="10"/>
    <n v="685.35"/>
    <n v="4.5"/>
    <n v="100"/>
  </r>
  <r>
    <s v="26d6bbee02420494d471c9f6436929c0"/>
    <x v="4"/>
    <n v="12"/>
    <n v="13"/>
    <n v="681.7"/>
    <n v="4.6900000000000004"/>
    <n v="100"/>
  </r>
  <r>
    <s v="48fb026ed7455a42f5d3e9390ed5088e"/>
    <x v="2"/>
    <n v="9"/>
    <n v="9"/>
    <n v="681.27"/>
    <n v="2.89"/>
    <n v="100"/>
  </r>
  <r>
    <s v="3968920b9aa752ab98f7d5888c9252f2"/>
    <x v="0"/>
    <n v="8"/>
    <n v="10"/>
    <n v="681.01"/>
    <n v="4.0999999999999996"/>
    <n v="90"/>
  </r>
  <r>
    <s v="c52c644cc0dc85121207a27013efc6af"/>
    <x v="3"/>
    <n v="1"/>
    <n v="2"/>
    <n v="680.96"/>
    <n v="5"/>
    <n v="100"/>
  </r>
  <r>
    <s v="6879c4d287a8dd06b11f54ea8f78e4da"/>
    <x v="0"/>
    <n v="6"/>
    <n v="6"/>
    <n v="677.13"/>
    <n v="4.33"/>
    <n v="100"/>
  </r>
  <r>
    <s v="6eeed17989b0ae47c9f11ece6f38ea90"/>
    <x v="0"/>
    <n v="3"/>
    <n v="3"/>
    <n v="676.01"/>
    <n v="3.67"/>
    <n v="100"/>
  </r>
  <r>
    <s v="53336f97ddbe53e2a617d07b17447b95"/>
    <x v="0"/>
    <n v="1"/>
    <n v="1"/>
    <n v="674.83"/>
    <n v="5"/>
    <n v="100"/>
  </r>
  <r>
    <s v="83353a83fd769dfafa4f21a72b15e3e5"/>
    <x v="0"/>
    <n v="5"/>
    <n v="5"/>
    <n v="674.33"/>
    <n v="3.8"/>
    <n v="80"/>
  </r>
  <r>
    <s v="71271995e85f5b8530be99ed54a91b89"/>
    <x v="8"/>
    <n v="6"/>
    <n v="6"/>
    <n v="674.15"/>
    <n v="3"/>
    <n v="83.3"/>
  </r>
  <r>
    <s v="eddd1991bd6d9309995a480c39b95137"/>
    <x v="4"/>
    <n v="2"/>
    <n v="2"/>
    <n v="672.55"/>
    <n v="3.5"/>
    <n v="100"/>
  </r>
  <r>
    <s v="685b870da5b52a710782c9c0fefbeb5b"/>
    <x v="0"/>
    <n v="2"/>
    <n v="2"/>
    <n v="670.98"/>
    <n v="2"/>
    <n v="0"/>
  </r>
  <r>
    <s v="ff4e2d38692ce827b1a4f4b8196e680d"/>
    <x v="0"/>
    <n v="11"/>
    <n v="11"/>
    <n v="669.18"/>
    <n v="4.2699999999999996"/>
    <n v="100"/>
  </r>
  <r>
    <s v="48efc9d94a9834137efd9ea76b065a38"/>
    <x v="4"/>
    <n v="33"/>
    <n v="34"/>
    <n v="666"/>
    <n v="5"/>
    <n v="100"/>
  </r>
  <r>
    <s v="bf961104a38e01b9062ee026bb657dee"/>
    <x v="0"/>
    <n v="4"/>
    <n v="4"/>
    <n v="665.46"/>
    <n v="4.5"/>
    <n v="100"/>
  </r>
  <r>
    <s v="63ffcb71394dd8ea3872ed9ffda17c74"/>
    <x v="2"/>
    <n v="17"/>
    <n v="17"/>
    <n v="663.72"/>
    <n v="3.18"/>
    <n v="94.1"/>
  </r>
  <r>
    <s v="768de2a4fc06aacecb9a586ccc30746a"/>
    <x v="10"/>
    <n v="13"/>
    <n v="13"/>
    <n v="663.71"/>
    <n v="4.38"/>
    <n v="100"/>
  </r>
  <r>
    <s v="4170f6a9367e6b5d6401d03ce6d54569"/>
    <x v="10"/>
    <n v="4"/>
    <n v="5"/>
    <n v="661.81"/>
    <n v="4.2"/>
    <n v="80"/>
  </r>
  <r>
    <s v="b5bb2b985208834bd5bd86c7a402bbad"/>
    <x v="8"/>
    <n v="2"/>
    <n v="2"/>
    <n v="659.72"/>
    <n v="5"/>
    <n v="100"/>
  </r>
  <r>
    <s v="c7a0a13cbcf29d5ce51c8f80afdc0b89"/>
    <x v="6"/>
    <n v="8"/>
    <n v="9"/>
    <n v="657.8"/>
    <n v="4.22"/>
    <n v="100"/>
  </r>
  <r>
    <s v="4e326052e5dbba8adcd512f3450a307e"/>
    <x v="0"/>
    <n v="3"/>
    <n v="6"/>
    <n v="655.96"/>
    <n v="1.67"/>
    <n v="100"/>
  </r>
  <r>
    <s v="73b8eb4a9a729d4019b24ed1be748cbf"/>
    <x v="0"/>
    <n v="7"/>
    <n v="7"/>
    <n v="655.5"/>
    <n v="4.8600000000000003"/>
    <n v="100"/>
  </r>
  <r>
    <s v="9e6967d3cf386d284251784b18ccb485"/>
    <x v="0"/>
    <n v="9"/>
    <n v="11"/>
    <n v="654.9"/>
    <n v="3.64"/>
    <n v="90.9"/>
  </r>
  <r>
    <s v="f5b44895715ddfe3087dc414f30268f3"/>
    <x v="0"/>
    <n v="19"/>
    <n v="19"/>
    <n v="654.44000000000005"/>
    <n v="4"/>
    <n v="100"/>
  </r>
  <r>
    <s v="13c2ed7698b3ca92dad49e849219da59"/>
    <x v="4"/>
    <n v="8"/>
    <n v="9"/>
    <n v="653.29"/>
    <n v="4.4400000000000004"/>
    <n v="100"/>
  </r>
  <r>
    <s v="bbaff50f3b708fda865918715276cd87"/>
    <x v="0"/>
    <n v="12"/>
    <n v="16"/>
    <n v="651.77"/>
    <n v="4.8099999999999996"/>
    <n v="87.5"/>
  </r>
  <r>
    <s v="3ea00e1dea2b0659dbaf654735929220"/>
    <x v="4"/>
    <n v="7"/>
    <n v="7"/>
    <n v="649.97"/>
    <n v="4.8600000000000003"/>
    <n v="100"/>
  </r>
  <r>
    <s v="a35ef466c6fd6d052f5d241240d3c5e2"/>
    <x v="8"/>
    <n v="3"/>
    <n v="3"/>
    <n v="649.54999999999995"/>
    <n v="4.67"/>
    <n v="100"/>
  </r>
  <r>
    <s v="7c1fea10b5b006671d608b1d7c446ec4"/>
    <x v="0"/>
    <n v="14"/>
    <n v="14"/>
    <n v="647.75"/>
    <n v="4"/>
    <n v="92.9"/>
  </r>
  <r>
    <s v="2e7ea2aafec5835e781b21d6d1faf1f1"/>
    <x v="0"/>
    <n v="7"/>
    <n v="7"/>
    <n v="646.62"/>
    <n v="4.5"/>
    <n v="85.7"/>
  </r>
  <r>
    <s v="1588ac4010787100dddef64568f0ae35"/>
    <x v="4"/>
    <n v="3"/>
    <n v="3"/>
    <n v="645.97"/>
    <n v="3"/>
    <n v="100"/>
  </r>
  <r>
    <s v="bb2afe2061d53c6968aa0cffa233a8ec"/>
    <x v="0"/>
    <n v="5"/>
    <n v="6"/>
    <n v="644.02"/>
    <n v="4.83"/>
    <n v="100"/>
  </r>
  <r>
    <s v="8b2d4ab22f42c5cfc338b846decfda60"/>
    <x v="4"/>
    <n v="6"/>
    <n v="9"/>
    <n v="643.32000000000005"/>
    <n v="4.78"/>
    <n v="100"/>
  </r>
  <r>
    <s v="c3aad7dc65449ae90a5e9c3c6c1e78e0"/>
    <x v="0"/>
    <n v="6"/>
    <n v="6"/>
    <n v="640.36"/>
    <n v="4.67"/>
    <n v="100"/>
  </r>
  <r>
    <s v="1fe61aa5494bd3ae92a2c13e067c810f"/>
    <x v="6"/>
    <n v="1"/>
    <n v="2"/>
    <n v="638.58000000000004"/>
    <n v="4"/>
    <n v="100"/>
  </r>
  <r>
    <s v="f9ec7093df3a7b346b7bcf7864069ca3"/>
    <x v="0"/>
    <n v="9"/>
    <n v="9"/>
    <n v="638.13"/>
    <n v="4.78"/>
    <n v="100"/>
  </r>
  <r>
    <s v="8bd0e3abda539b9479c4b44a691be1ec"/>
    <x v="8"/>
    <n v="6"/>
    <n v="12"/>
    <n v="638.02"/>
    <n v="1.75"/>
    <n v="66.7"/>
  </r>
  <r>
    <s v="74871d19219c7d518d0090283e03c137"/>
    <x v="0"/>
    <n v="6"/>
    <n v="7"/>
    <n v="637.91"/>
    <n v="5"/>
    <n v="100"/>
  </r>
  <r>
    <s v="b87a7ea0c30fad2dd6781b74a0064859"/>
    <x v="0"/>
    <n v="9"/>
    <n v="9"/>
    <n v="637.75"/>
    <n v="3.44"/>
    <n v="77.8"/>
  </r>
  <r>
    <s v="1f7fd2a6fcd5a6fa5d8a4dabc72aaae0"/>
    <x v="8"/>
    <n v="3"/>
    <n v="3"/>
    <n v="632.67999999999995"/>
    <n v="5"/>
    <n v="100"/>
  </r>
  <r>
    <s v="2953ce3a88f5e3c3b696d77fc9e4c8eb"/>
    <x v="0"/>
    <n v="14"/>
    <n v="15"/>
    <n v="631.32000000000005"/>
    <n v="4.67"/>
    <n v="93.3"/>
  </r>
  <r>
    <s v="d197aa8fbc64087f61984deef05f6227"/>
    <x v="0"/>
    <n v="6"/>
    <n v="7"/>
    <n v="630.65"/>
    <n v="4.71"/>
    <n v="100"/>
  </r>
  <r>
    <s v="89bc797e2e29667aa035d4368f9b7f92"/>
    <x v="0"/>
    <n v="16"/>
    <n v="19"/>
    <n v="630.44000000000005"/>
    <n v="3.89"/>
    <n v="84.2"/>
  </r>
  <r>
    <s v="9599519be538b98748162a2b48248960"/>
    <x v="0"/>
    <n v="1"/>
    <n v="3"/>
    <n v="630.05999999999995"/>
    <n v="1"/>
    <n v="100"/>
  </r>
  <r>
    <s v="b0b346d3a89f5eb4c2968af3f083cd43"/>
    <x v="0"/>
    <n v="9"/>
    <n v="9"/>
    <n v="629.70000000000005"/>
    <n v="3.78"/>
    <n v="66.7"/>
  </r>
  <r>
    <s v="70125af26c2d6d4ef401a1d02ae7701f"/>
    <x v="12"/>
    <n v="5"/>
    <n v="8"/>
    <n v="629.62"/>
    <n v="4.63"/>
    <n v="100"/>
  </r>
  <r>
    <s v="6c17baf138731a4aaacc3210adf2037b"/>
    <x v="0"/>
    <n v="4"/>
    <n v="5"/>
    <n v="628.72"/>
    <n v="5"/>
    <n v="100"/>
  </r>
  <r>
    <s v="c42fd8e4d47dfb18ce5222f2dd7752f9"/>
    <x v="0"/>
    <n v="7"/>
    <n v="11"/>
    <n v="628.63"/>
    <n v="4"/>
    <n v="54.5"/>
  </r>
  <r>
    <s v="5f5a58930c3c35f3b5af264f34fb8c85"/>
    <x v="0"/>
    <n v="3"/>
    <n v="3"/>
    <n v="628.59"/>
    <n v="5"/>
    <n v="100"/>
  </r>
  <r>
    <s v="385799a1cddbd26dfeb9157356a42282"/>
    <x v="0"/>
    <n v="4"/>
    <n v="6"/>
    <n v="626.72"/>
    <n v="4.83"/>
    <n v="100"/>
  </r>
  <r>
    <s v="d4e4b5192cba4e0e66eb12a9d347239d"/>
    <x v="4"/>
    <n v="11"/>
    <n v="11"/>
    <n v="625.4"/>
    <n v="4.45"/>
    <n v="100"/>
  </r>
  <r>
    <s v="cd2169d9f31ff6fbb9ca3373b0c9e354"/>
    <x v="2"/>
    <n v="1"/>
    <n v="1"/>
    <n v="625.33000000000004"/>
    <n v="4"/>
    <n v="100"/>
  </r>
  <r>
    <s v="3d0cd21d41671c46f82cd11176bf7277"/>
    <x v="6"/>
    <n v="9"/>
    <n v="11"/>
    <n v="622.38"/>
    <n v="4.7300000000000004"/>
    <n v="100"/>
  </r>
  <r>
    <s v="7b7f91e98f8c6def45a1407923304402"/>
    <x v="0"/>
    <n v="11"/>
    <n v="14"/>
    <n v="620.49"/>
    <n v="3.5"/>
    <n v="92.9"/>
  </r>
  <r>
    <s v="d7485b33791774c36108f8c69602d48d"/>
    <x v="4"/>
    <n v="10"/>
    <n v="10"/>
    <n v="619.14"/>
    <n v="3.7"/>
    <n v="90"/>
  </r>
  <r>
    <s v="32fdd5d44ecb43dfd6a24b9369eca144"/>
    <x v="3"/>
    <n v="8"/>
    <n v="8"/>
    <n v="617.88"/>
    <n v="4.38"/>
    <n v="100"/>
  </r>
  <r>
    <s v="33cbda8716511e27e556dff9d8418bf2"/>
    <x v="6"/>
    <n v="5"/>
    <n v="6"/>
    <n v="615.57000000000005"/>
    <n v="4.83"/>
    <n v="100"/>
  </r>
  <r>
    <s v="312ba1d77e9c332ef21f9598b7f64cd7"/>
    <x v="0"/>
    <n v="7"/>
    <n v="7"/>
    <n v="615.41"/>
    <n v="3.14"/>
    <n v="42.9"/>
  </r>
  <r>
    <s v="4a82168aaef173cbb6e46ae88728f919"/>
    <x v="4"/>
    <n v="4"/>
    <n v="4"/>
    <n v="612.39"/>
    <n v="4"/>
    <n v="100"/>
  </r>
  <r>
    <s v="eb9cd5b35d95206585e2185318cb5c61"/>
    <x v="0"/>
    <n v="2"/>
    <n v="3"/>
    <n v="611.54999999999995"/>
    <n v="2.33"/>
    <n v="100"/>
  </r>
  <r>
    <s v="f524ad65d7e0f1daab730ef2d2e86196"/>
    <x v="8"/>
    <n v="1"/>
    <n v="2"/>
    <n v="609.5"/>
    <n v="1"/>
    <n v="0"/>
  </r>
  <r>
    <s v="b248792ac0b60ec3f93d80af1b4fae47"/>
    <x v="0"/>
    <n v="7"/>
    <n v="9"/>
    <n v="608.35"/>
    <n v="3.78"/>
    <n v="77.8"/>
  </r>
  <r>
    <s v="fc59392d66ef99377e50356ee4f3b4e1"/>
    <x v="1"/>
    <n v="5"/>
    <n v="5"/>
    <n v="606.96"/>
    <n v="3.6"/>
    <n v="100"/>
  </r>
  <r>
    <s v="a06c8ff043abea0528ee44171e2140a2"/>
    <x v="3"/>
    <n v="8"/>
    <n v="8"/>
    <n v="606.92999999999995"/>
    <n v="4.75"/>
    <n v="100"/>
  </r>
  <r>
    <s v="08084d990eb3f53af056ccbc1730c8a7"/>
    <x v="0"/>
    <n v="12"/>
    <n v="12"/>
    <n v="606.79"/>
    <n v="4.45"/>
    <n v="100"/>
  </r>
  <r>
    <s v="35b96509602ec4b7da831b5cd73ff2c2"/>
    <x v="8"/>
    <n v="2"/>
    <n v="2"/>
    <n v="606.45000000000005"/>
    <n v="4.5"/>
    <n v="100"/>
  </r>
  <r>
    <s v="08d1c9478fb0d7d7fcac9c0da4e82fc7"/>
    <x v="3"/>
    <n v="1"/>
    <n v="1"/>
    <n v="605.57000000000005"/>
    <n v="5"/>
    <n v="100"/>
  </r>
  <r>
    <s v="bc503e244f187939d10c92a5c8e378ce"/>
    <x v="0"/>
    <n v="6"/>
    <n v="13"/>
    <n v="603.72"/>
    <n v="4.1500000000000004"/>
    <n v="100"/>
  </r>
  <r>
    <s v="e1b12447a7563944843191754aeb5562"/>
    <x v="0"/>
    <n v="9"/>
    <n v="10"/>
    <n v="599.13"/>
    <n v="4.5"/>
    <n v="70"/>
  </r>
  <r>
    <s v="97e995629983723d11830a829bc2b246"/>
    <x v="0"/>
    <n v="5"/>
    <n v="5"/>
    <n v="598.87"/>
    <n v="4.8"/>
    <n v="100"/>
  </r>
  <r>
    <s v="6e13dd869aa7185f601c941423abcc8f"/>
    <x v="0"/>
    <n v="5"/>
    <n v="6"/>
    <n v="598.08000000000004"/>
    <n v="4.83"/>
    <n v="100"/>
  </r>
  <r>
    <s v="e3dd723429d1b23614b7fa85e2c7a853"/>
    <x v="0"/>
    <n v="7"/>
    <n v="8"/>
    <n v="597.62"/>
    <n v="3.38"/>
    <n v="87.5"/>
  </r>
  <r>
    <s v="7994b065a7ffb14e71c6312cf87b9de2"/>
    <x v="9"/>
    <n v="5"/>
    <n v="7"/>
    <n v="597.34"/>
    <n v="5"/>
    <n v="100"/>
  </r>
  <r>
    <s v="e433f5fd4050e3352b5d83522b7fe24b"/>
    <x v="4"/>
    <n v="1"/>
    <n v="1"/>
    <n v="596.77"/>
    <n v="4"/>
    <n v="100"/>
  </r>
  <r>
    <s v="20a7efa9721046319bdde5d60b6b5365"/>
    <x v="0"/>
    <n v="3"/>
    <n v="6"/>
    <n v="596.59"/>
    <n v="5"/>
    <n v="100"/>
  </r>
  <r>
    <s v="ccbd753e6863fe7314dc6c0ca5a074e7"/>
    <x v="6"/>
    <n v="1"/>
    <n v="1"/>
    <n v="596.55999999999995"/>
    <n v="4"/>
    <n v="100"/>
  </r>
  <r>
    <s v="bd15ee794d5e640d9dd71b665b2ab15b"/>
    <x v="0"/>
    <n v="12"/>
    <n v="12"/>
    <n v="594.13"/>
    <n v="4"/>
    <n v="83.3"/>
  </r>
  <r>
    <s v="ce616e1913288884e7742faac9d981db"/>
    <x v="0"/>
    <n v="14"/>
    <n v="22"/>
    <n v="593.45000000000005"/>
    <n v="4.6399999999999997"/>
    <n v="95.5"/>
  </r>
  <r>
    <s v="651fe66032c9520ee5587f694908040d"/>
    <x v="8"/>
    <n v="7"/>
    <n v="7"/>
    <n v="592.73"/>
    <n v="4"/>
    <n v="100"/>
  </r>
  <r>
    <s v="b7cc6c5e001441ae8cdd5c69a480cbe4"/>
    <x v="6"/>
    <n v="5"/>
    <n v="5"/>
    <n v="590.04999999999995"/>
    <n v="4.5999999999999996"/>
    <n v="100"/>
  </r>
  <r>
    <s v="55029529919c0123526150bd26ca8f20"/>
    <x v="3"/>
    <n v="7"/>
    <n v="7"/>
    <n v="588.83000000000004"/>
    <n v="4.71"/>
    <n v="100"/>
  </r>
  <r>
    <s v="35fb511489d9ee3ee27a76debce9df06"/>
    <x v="4"/>
    <n v="7"/>
    <n v="7"/>
    <n v="586.79"/>
    <n v="3.57"/>
    <n v="85.7"/>
  </r>
  <r>
    <s v="7402d13c03a7e91366337cd1de471144"/>
    <x v="4"/>
    <n v="3"/>
    <n v="3"/>
    <n v="584.79"/>
    <n v="4.33"/>
    <n v="100"/>
  </r>
  <r>
    <s v="2009a095de2a2a41626f6c6d7722678d"/>
    <x v="0"/>
    <n v="8"/>
    <n v="12"/>
    <n v="582.42999999999995"/>
    <n v="3.92"/>
    <n v="100"/>
  </r>
  <r>
    <s v="e59e489e2ea74bd409b798b5daf49de3"/>
    <x v="4"/>
    <n v="3"/>
    <n v="5"/>
    <n v="581.76"/>
    <n v="2.2000000000000002"/>
    <n v="100"/>
  </r>
  <r>
    <s v="0951a6e282947e09cd47969f4ed0b47f"/>
    <x v="0"/>
    <n v="7"/>
    <n v="7"/>
    <n v="580.32000000000005"/>
    <n v="4.8600000000000003"/>
    <n v="100"/>
  </r>
  <r>
    <s v="7e79d65b5c6f1f544b7daea036acf720"/>
    <x v="0"/>
    <n v="4"/>
    <n v="4"/>
    <n v="579.89"/>
    <n v="4.5"/>
    <n v="100"/>
  </r>
  <r>
    <s v="820c7c9eaf76d2b226b6c242bcf3f34d"/>
    <x v="0"/>
    <n v="1"/>
    <n v="1"/>
    <n v="577"/>
    <n v="4"/>
    <n v="100"/>
  </r>
  <r>
    <s v="3d4824f20035949c710eaf111f869d39"/>
    <x v="0"/>
    <n v="8"/>
    <n v="9"/>
    <n v="575.57000000000005"/>
    <n v="3.78"/>
    <n v="77.8"/>
  </r>
  <r>
    <s v="acb6c2ca5c82411c1fdb88d5fd5eb95e"/>
    <x v="0"/>
    <n v="10"/>
    <n v="11"/>
    <n v="575.49"/>
    <n v="3.73"/>
    <n v="100"/>
  </r>
  <r>
    <s v="2493dc3f20131696a0ecdb9948051a8d"/>
    <x v="10"/>
    <n v="4"/>
    <n v="4"/>
    <n v="575.07000000000005"/>
    <n v="4.75"/>
    <n v="100"/>
  </r>
  <r>
    <s v="f22a247b79dd22ecd91dc8e3b2a1b07c"/>
    <x v="0"/>
    <n v="8"/>
    <n v="8"/>
    <n v="574.84"/>
    <n v="4"/>
    <n v="75"/>
  </r>
  <r>
    <s v="25be943a321c8938947bdaabca979a90"/>
    <x v="0"/>
    <n v="3"/>
    <n v="3"/>
    <n v="574.63"/>
    <n v="4.33"/>
    <n v="100"/>
  </r>
  <r>
    <s v="4e480be820e37de1444325ff358c9296"/>
    <x v="3"/>
    <n v="1"/>
    <n v="2"/>
    <n v="573.74"/>
    <n v="5"/>
    <n v="100"/>
  </r>
  <r>
    <s v="35857757f553273b1056c1cabdace7fb"/>
    <x v="0"/>
    <n v="6"/>
    <n v="6"/>
    <n v="573.34"/>
    <n v="4"/>
    <n v="83.3"/>
  </r>
  <r>
    <s v="b9c0ffa92f3ff9a5a3d45ef7213c0842"/>
    <x v="0"/>
    <n v="3"/>
    <n v="3"/>
    <n v="572.16999999999996"/>
    <n v="5"/>
    <n v="100"/>
  </r>
  <r>
    <s v="979e9f8b5b39dd243a2550c8b05aecf0"/>
    <x v="0"/>
    <n v="3"/>
    <n v="4"/>
    <n v="571.88"/>
    <n v="5"/>
    <n v="100"/>
  </r>
  <r>
    <s v="9fc70243fb26800cba56e8f014797004"/>
    <x v="3"/>
    <n v="6"/>
    <n v="7"/>
    <n v="571.29999999999995"/>
    <n v="4.57"/>
    <n v="100"/>
  </r>
  <r>
    <s v="4cc4fd4fdd406a85bbdc1f824b731bd7"/>
    <x v="4"/>
    <n v="1"/>
    <n v="2"/>
    <n v="571.22"/>
    <n v="5"/>
    <n v="100"/>
  </r>
  <r>
    <s v="2b2fed75b8e5ea3a052fc4c0825da485"/>
    <x v="3"/>
    <n v="3"/>
    <n v="4"/>
    <n v="570.83000000000004"/>
    <n v="5"/>
    <n v="100"/>
  </r>
  <r>
    <s v="fadb07c842a2aef5d5a676b85f220e71"/>
    <x v="0"/>
    <n v="7"/>
    <n v="7"/>
    <n v="570.37"/>
    <n v="4.71"/>
    <n v="100"/>
  </r>
  <r>
    <s v="ff314fa6033cc68ec451c47aee2d6ba4"/>
    <x v="0"/>
    <n v="2"/>
    <n v="2"/>
    <n v="570.34"/>
    <n v="5"/>
    <n v="100"/>
  </r>
  <r>
    <s v="b3f19518fcec265b2e97af287725f981"/>
    <x v="0"/>
    <n v="8"/>
    <n v="8"/>
    <n v="569.79999999999995"/>
    <n v="4.38"/>
    <n v="100"/>
  </r>
  <r>
    <s v="59cd88080b93f3c18508673122d26169"/>
    <x v="0"/>
    <n v="10"/>
    <n v="12"/>
    <n v="567.71"/>
    <n v="4.75"/>
    <n v="83.3"/>
  </r>
  <r>
    <s v="b080809eaacb49e5ca07290981472431"/>
    <x v="3"/>
    <n v="11"/>
    <n v="11"/>
    <n v="567.4"/>
    <n v="4.82"/>
    <n v="100"/>
  </r>
  <r>
    <s v="0c7f30ae9b147eca07affbef92832a6a"/>
    <x v="4"/>
    <n v="5"/>
    <n v="5"/>
    <n v="567.11"/>
    <n v="5"/>
    <n v="100"/>
  </r>
  <r>
    <s v="64cc804291f90c81f02bfc2bb58ff55a"/>
    <x v="4"/>
    <n v="2"/>
    <n v="2"/>
    <n v="564.14"/>
    <n v="5"/>
    <n v="100"/>
  </r>
  <r>
    <s v="a8739afb32aaa45e01815ca76f76f54b"/>
    <x v="0"/>
    <n v="13"/>
    <n v="15"/>
    <n v="563.55999999999995"/>
    <n v="3.47"/>
    <n v="100"/>
  </r>
  <r>
    <s v="4342d4b2ba6b161468c63a7e7cfce593"/>
    <x v="2"/>
    <n v="2"/>
    <n v="2"/>
    <n v="563.44000000000005"/>
    <n v="1"/>
    <n v="50"/>
  </r>
  <r>
    <s v="09bad886111255c5b5030314fc7f1a4a"/>
    <x v="0"/>
    <n v="5"/>
    <n v="5"/>
    <n v="560.36"/>
    <n v="5"/>
    <n v="100"/>
  </r>
  <r>
    <s v="5e49e3a44bdeb5aab2684258bbd4f525"/>
    <x v="6"/>
    <n v="3"/>
    <n v="3"/>
    <n v="559.77"/>
    <n v="4.67"/>
    <n v="66.7"/>
  </r>
  <r>
    <s v="bac692d6c0ed08467878018e6cc9c26c"/>
    <x v="6"/>
    <n v="1"/>
    <n v="3"/>
    <n v="559.23"/>
    <n v="4"/>
    <n v="100"/>
  </r>
  <r>
    <s v="29e6e05b65f93bc224c644319dc52ecf"/>
    <x v="3"/>
    <n v="4"/>
    <n v="4"/>
    <n v="558.91999999999996"/>
    <n v="4.75"/>
    <n v="100"/>
  </r>
  <r>
    <s v="f1198c871e0171278b63f40d112caeec"/>
    <x v="0"/>
    <n v="2"/>
    <n v="2"/>
    <n v="558.07000000000005"/>
    <n v="4.5"/>
    <n v="100"/>
  </r>
  <r>
    <s v="ea00f977a203ff88adf7057cb7806998"/>
    <x v="0"/>
    <n v="18"/>
    <n v="18"/>
    <n v="558.02"/>
    <n v="4.28"/>
    <n v="94.4"/>
  </r>
  <r>
    <s v="038b75b729c8a9a04b0d07cba7eabe86"/>
    <x v="0"/>
    <n v="2"/>
    <n v="2"/>
    <n v="557.85"/>
    <n v="3.5"/>
    <n v="50"/>
  </r>
  <r>
    <s v="08d0949a9a17c027262db1f3c450c26c"/>
    <x v="4"/>
    <n v="12"/>
    <n v="12"/>
    <n v="557.84"/>
    <n v="3.71"/>
    <n v="100"/>
  </r>
  <r>
    <s v="c026ef0d72e9132d9fa112308090c8dc"/>
    <x v="2"/>
    <n v="1"/>
    <n v="1"/>
    <n v="557.72"/>
    <n v="4"/>
    <n v="100"/>
  </r>
  <r>
    <s v="48e954b2da4f6a750c844173b347ed40"/>
    <x v="8"/>
    <n v="2"/>
    <n v="6"/>
    <n v="556.80999999999995"/>
    <n v="4.17"/>
    <n v="100"/>
  </r>
  <r>
    <s v="c1f12f926d0ba950578b4fa41115cbb6"/>
    <x v="0"/>
    <n v="2"/>
    <n v="4"/>
    <n v="556.55999999999995"/>
    <n v="4.5"/>
    <n v="75"/>
  </r>
  <r>
    <s v="bd149ed516d4c5d418d5781f8e18919f"/>
    <x v="0"/>
    <n v="8"/>
    <n v="9"/>
    <n v="555.94000000000005"/>
    <n v="4.8899999999999997"/>
    <n v="100"/>
  </r>
  <r>
    <s v="a7dc4098e4da6e41b426269d12ae7e91"/>
    <x v="0"/>
    <n v="2"/>
    <n v="3"/>
    <n v="554.45000000000005"/>
    <n v="3.67"/>
    <n v="100"/>
  </r>
  <r>
    <s v="0ddefe3c7a032b91f4e25b9c3a08fca1"/>
    <x v="0"/>
    <n v="9"/>
    <n v="10"/>
    <n v="552.9"/>
    <n v="4.5"/>
    <n v="100"/>
  </r>
  <r>
    <s v="b6dc74ed30f124f95227bed4e43a3bed"/>
    <x v="4"/>
    <n v="9"/>
    <n v="10"/>
    <n v="551.89"/>
    <n v="4.7"/>
    <n v="90"/>
  </r>
  <r>
    <s v="404e1ba01358af4cd63f679b2c4d1fa1"/>
    <x v="3"/>
    <n v="8"/>
    <n v="12"/>
    <n v="551.73"/>
    <n v="5"/>
    <n v="100"/>
  </r>
  <r>
    <s v="7bcd7c5f8631701474db233ccf1c094b"/>
    <x v="0"/>
    <n v="8"/>
    <n v="8"/>
    <n v="551.04"/>
    <n v="4.38"/>
    <n v="100"/>
  </r>
  <r>
    <s v="86ff3eaef0267069cc891a2ed9d10a17"/>
    <x v="6"/>
    <n v="7"/>
    <n v="7"/>
    <n v="550.36"/>
    <n v="4.71"/>
    <n v="100"/>
  </r>
  <r>
    <s v="4049512728d969bec69f84088b012416"/>
    <x v="3"/>
    <n v="7"/>
    <n v="9"/>
    <n v="550.27"/>
    <n v="5"/>
    <n v="100"/>
  </r>
  <r>
    <s v="5dc203c7b84a0e71e878a179de05fb9a"/>
    <x v="0"/>
    <n v="5"/>
    <n v="5"/>
    <n v="550.04999999999995"/>
    <n v="4"/>
    <n v="100"/>
  </r>
  <r>
    <s v="8fec2e460530482132c436cfb5439925"/>
    <x v="0"/>
    <n v="3"/>
    <n v="5"/>
    <n v="548.61"/>
    <n v="3.8"/>
    <n v="40"/>
  </r>
  <r>
    <s v="fcba71d4d5db057f43249145e4eb1e27"/>
    <x v="0"/>
    <n v="3"/>
    <n v="3"/>
    <n v="548.27"/>
    <n v="4.67"/>
    <n v="100"/>
  </r>
  <r>
    <s v="ed9eef5be0992d413d251fadba1a410d"/>
    <x v="0"/>
    <n v="3"/>
    <n v="9"/>
    <n v="547.34"/>
    <n v="4.5599999999999996"/>
    <n v="100"/>
  </r>
  <r>
    <s v="265fdc289dffa9f1ad801c74f7d0de47"/>
    <x v="0"/>
    <n v="1"/>
    <n v="1"/>
    <n v="546.54999999999995"/>
    <n v="5"/>
    <n v="100"/>
  </r>
  <r>
    <s v="3296662b1331dea51e744505065ae889"/>
    <x v="0"/>
    <n v="1"/>
    <n v="1"/>
    <n v="545.51"/>
    <n v="5"/>
    <n v="100"/>
  </r>
  <r>
    <s v="a53f60f05f822b5c621a50ff6a5cb362"/>
    <x v="3"/>
    <n v="4"/>
    <n v="6"/>
    <n v="544.53"/>
    <n v="2.6"/>
    <n v="100"/>
  </r>
  <r>
    <s v="a2fa0bdc798ee84cdb08281337cf4fb6"/>
    <x v="6"/>
    <n v="8"/>
    <n v="11"/>
    <n v="541.97"/>
    <n v="4.82"/>
    <n v="100"/>
  </r>
  <r>
    <s v="a5bff0f43eb51f0cad7c37fac7244c8a"/>
    <x v="0"/>
    <n v="4"/>
    <n v="5"/>
    <n v="541.27"/>
    <n v="4.8"/>
    <n v="100"/>
  </r>
  <r>
    <s v="f88adb15807168d3c43d71021090ce4a"/>
    <x v="0"/>
    <n v="3"/>
    <n v="3"/>
    <n v="541.05999999999995"/>
    <n v="3.33"/>
    <n v="100"/>
  </r>
  <r>
    <s v="079d295dcbf06ee8bb1b65ba964eb2b6"/>
    <x v="0"/>
    <n v="5"/>
    <n v="10"/>
    <n v="540.09"/>
    <n v="4.8"/>
    <n v="100"/>
  </r>
  <r>
    <s v="2c3d56f92f360fb89d849b84e8f50eae"/>
    <x v="0"/>
    <n v="7"/>
    <n v="7"/>
    <n v="536.86"/>
    <n v="3.43"/>
    <n v="85.7"/>
  </r>
  <r>
    <s v="117cfc326c6d50da67ca858ff5c0c852"/>
    <x v="2"/>
    <n v="5"/>
    <n v="5"/>
    <n v="536.08000000000004"/>
    <n v="4.5999999999999996"/>
    <n v="100"/>
  </r>
  <r>
    <s v="b29d3380981c51df13fc6fbe87e1763d"/>
    <x v="0"/>
    <n v="6"/>
    <n v="7"/>
    <n v="533.88"/>
    <n v="4"/>
    <n v="100"/>
  </r>
  <r>
    <s v="e5899683388855d3dabe8913bbe365de"/>
    <x v="0"/>
    <n v="3"/>
    <n v="3"/>
    <n v="533.86"/>
    <n v="4"/>
    <n v="100"/>
  </r>
  <r>
    <s v="0249d282d911d23cb8b869ab49c99f53"/>
    <x v="0"/>
    <n v="11"/>
    <n v="11"/>
    <n v="531.88"/>
    <n v="4.2699999999999996"/>
    <n v="81.8"/>
  </r>
  <r>
    <s v="20a8b0dc55da94fe74d112082427c84f"/>
    <x v="0"/>
    <n v="7"/>
    <n v="7"/>
    <n v="531.38"/>
    <n v="4.29"/>
    <n v="85.7"/>
  </r>
  <r>
    <s v="6b803197e03abd5056b4313306b4f29d"/>
    <x v="0"/>
    <n v="7"/>
    <n v="12"/>
    <n v="530.62"/>
    <n v="4.83"/>
    <n v="100"/>
  </r>
  <r>
    <s v="feb793c88d836c3a75efa4b5a3465d70"/>
    <x v="0"/>
    <n v="1"/>
    <n v="1"/>
    <n v="530.16999999999996"/>
    <n v="5"/>
    <n v="100"/>
  </r>
  <r>
    <s v="83a75eea11694e36e56dd0cb2240229a"/>
    <x v="0"/>
    <n v="3"/>
    <n v="3"/>
    <n v="529.47"/>
    <n v="5"/>
    <n v="100"/>
  </r>
  <r>
    <s v="ff1e15b778c700abdd4d239b81ac466d"/>
    <x v="4"/>
    <n v="7"/>
    <n v="7"/>
    <n v="529.16"/>
    <n v="4.57"/>
    <n v="100"/>
  </r>
  <r>
    <s v="777a0c55737f34ffeb78010f7542ab41"/>
    <x v="0"/>
    <n v="6"/>
    <n v="6"/>
    <n v="528.33000000000004"/>
    <n v="4.33"/>
    <n v="100"/>
  </r>
  <r>
    <s v="ead2bab70821ea148476ae9bc08548ac"/>
    <x v="3"/>
    <n v="9"/>
    <n v="9"/>
    <n v="528.29999999999995"/>
    <n v="4.5"/>
    <n v="100"/>
  </r>
  <r>
    <s v="340636a908b13bbe0f4fb63fbe1d0c03"/>
    <x v="0"/>
    <n v="3"/>
    <n v="3"/>
    <n v="526.5"/>
    <n v="5"/>
    <n v="100"/>
  </r>
  <r>
    <s v="101a3a003516bc11253298b2fad3cb65"/>
    <x v="0"/>
    <n v="5"/>
    <n v="6"/>
    <n v="524"/>
    <n v="4.83"/>
    <n v="100"/>
  </r>
  <r>
    <s v="08f5819815f3d06545011850bd70f0a8"/>
    <x v="0"/>
    <n v="3"/>
    <n v="3"/>
    <n v="522.83000000000004"/>
    <n v="4.67"/>
    <n v="100"/>
  </r>
  <r>
    <s v="968ee78631915a63fef426d6733d7422"/>
    <x v="8"/>
    <n v="2"/>
    <n v="2"/>
    <n v="521.66999999999996"/>
    <n v="3"/>
    <n v="100"/>
  </r>
  <r>
    <s v="ee2fbacc2fc3794e656cc4d933d59ce7"/>
    <x v="0"/>
    <n v="2"/>
    <n v="3"/>
    <n v="518.70000000000005"/>
    <n v="4.33"/>
    <n v="100"/>
  </r>
  <r>
    <s v="35ef5aa32949680f627efec3c23e705c"/>
    <x v="6"/>
    <n v="4"/>
    <n v="5"/>
    <n v="518.41"/>
    <n v="3.2"/>
    <n v="100"/>
  </r>
  <r>
    <s v="d90fe2229fee1a5da999ccd0c06c1667"/>
    <x v="0"/>
    <n v="3"/>
    <n v="3"/>
    <n v="516.91"/>
    <n v="4.67"/>
    <n v="100"/>
  </r>
  <r>
    <s v="3985a3c45be355a4c57fde108bfabd1c"/>
    <x v="8"/>
    <n v="7"/>
    <n v="8"/>
    <n v="516.20000000000005"/>
    <n v="4.13"/>
    <n v="100"/>
  </r>
  <r>
    <s v="c3f5668699a1b04c0fa61ecea1e2bff6"/>
    <x v="4"/>
    <n v="3"/>
    <n v="3"/>
    <n v="514.92999999999995"/>
    <n v="5"/>
    <n v="100"/>
  </r>
  <r>
    <s v="761681a821d8275bc79f552116d06869"/>
    <x v="0"/>
    <n v="3"/>
    <n v="3"/>
    <n v="514.9"/>
    <n v="5"/>
    <n v="100"/>
  </r>
  <r>
    <s v="41b14765bd56c8ad10971074380f9c0c"/>
    <x v="0"/>
    <n v="8"/>
    <n v="10"/>
    <n v="514.63"/>
    <n v="4.0999999999999996"/>
    <n v="100"/>
  </r>
  <r>
    <s v="5c853bb56f70f4d14218944bae111d7a"/>
    <x v="0"/>
    <n v="23"/>
    <n v="24"/>
    <n v="514.19000000000005"/>
    <n v="4.04"/>
    <n v="100"/>
  </r>
  <r>
    <s v="29fe9f200d3fa0c668d2aa1ec7e08dfb"/>
    <x v="6"/>
    <n v="5"/>
    <n v="5"/>
    <n v="514.16"/>
    <n v="4"/>
    <n v="100"/>
  </r>
  <r>
    <s v="c3251e13f1bbda6c74e37c160f991e19"/>
    <x v="0"/>
    <n v="2"/>
    <n v="2"/>
    <n v="513.08000000000004"/>
    <n v="5"/>
    <n v="100"/>
  </r>
  <r>
    <s v="7816cd9c5b1238e320545f5bf7eb80e8"/>
    <x v="0"/>
    <n v="1"/>
    <n v="1"/>
    <n v="511.76"/>
    <n v="4"/>
    <n v="100"/>
  </r>
  <r>
    <s v="b1204cfda1d4948679db3cfc0d3cb95c"/>
    <x v="0"/>
    <n v="6"/>
    <n v="6"/>
    <n v="511.25"/>
    <n v="4.33"/>
    <n v="100"/>
  </r>
  <r>
    <s v="cc80e2f693fa6e2408f47ccf62413fc1"/>
    <x v="4"/>
    <n v="2"/>
    <n v="2"/>
    <n v="508.63"/>
    <n v="4"/>
    <n v="100"/>
  </r>
  <r>
    <s v="9dd59e43f0c9f0553244e8f9c2fb247e"/>
    <x v="4"/>
    <n v="10"/>
    <n v="10"/>
    <n v="508.12"/>
    <n v="4.8"/>
    <n v="90"/>
  </r>
  <r>
    <s v="cb0b3bcf14e0a709df412a99424a59d7"/>
    <x v="0"/>
    <n v="2"/>
    <n v="2"/>
    <n v="507.43"/>
    <n v="4.5"/>
    <n v="100"/>
  </r>
  <r>
    <s v="f4ce8ca9fa7157e3b33f536ac9a4487d"/>
    <x v="0"/>
    <n v="4"/>
    <n v="4"/>
    <n v="507.13"/>
    <n v="4.75"/>
    <n v="100"/>
  </r>
  <r>
    <s v="0747d5bb69f0586cc869d8af4c50f93e"/>
    <x v="2"/>
    <n v="12"/>
    <n v="13"/>
    <n v="504.24"/>
    <n v="3.85"/>
    <n v="92.3"/>
  </r>
  <r>
    <s v="85cc55e048b6bcc90c75afe7f0e72f72"/>
    <x v="2"/>
    <n v="9"/>
    <n v="9"/>
    <n v="501.76"/>
    <n v="4.4400000000000004"/>
    <n v="77.8"/>
  </r>
  <r>
    <s v="89de2d6f23e9746ff309705b23581faa"/>
    <x v="4"/>
    <n v="8"/>
    <n v="8"/>
    <n v="500.08"/>
    <n v="2.71"/>
    <n v="100"/>
  </r>
  <r>
    <s v="7c4618c82226628831613e95e9c22f44"/>
    <x v="0"/>
    <n v="13"/>
    <n v="13"/>
    <n v="499.47"/>
    <n v="4.08"/>
    <n v="92.3"/>
  </r>
  <r>
    <s v="0fe2d9733ed841eb064503920015a8c0"/>
    <x v="0"/>
    <n v="3"/>
    <n v="3"/>
    <n v="498.35"/>
    <n v="4.67"/>
    <n v="100"/>
  </r>
  <r>
    <s v="ce20a2ec1514c25e16f2b5b39bc818f0"/>
    <x v="0"/>
    <n v="4"/>
    <n v="7"/>
    <n v="496.03"/>
    <n v="4.8600000000000003"/>
    <n v="100"/>
  </r>
  <r>
    <s v="41e0fa5761c886a630994a55c12087e7"/>
    <x v="0"/>
    <n v="5"/>
    <n v="5"/>
    <n v="491.91"/>
    <n v="5"/>
    <n v="100"/>
  </r>
  <r>
    <s v="c714262700f93defc16bf17a51a4cb23"/>
    <x v="0"/>
    <n v="4"/>
    <n v="4"/>
    <n v="491.33"/>
    <n v="3.75"/>
    <n v="100"/>
  </r>
  <r>
    <s v="c24173065483e421f9e5e7f599de101d"/>
    <x v="0"/>
    <n v="9"/>
    <n v="9"/>
    <n v="491.21"/>
    <n v="3.56"/>
    <n v="88.9"/>
  </r>
  <r>
    <s v="98115075dd26cb8835946fc6086f5d30"/>
    <x v="0"/>
    <n v="4"/>
    <n v="4"/>
    <n v="491.2"/>
    <n v="4.75"/>
    <n v="100"/>
  </r>
  <r>
    <s v="a35124e2d763d7ca3fbe3b97d143200f"/>
    <x v="0"/>
    <n v="4"/>
    <n v="7"/>
    <n v="490.39"/>
    <n v="4.43"/>
    <n v="100"/>
  </r>
  <r>
    <s v="939e6227d6964a11a70aa91243e418f2"/>
    <x v="3"/>
    <n v="4"/>
    <n v="4"/>
    <n v="488.25"/>
    <n v="4.25"/>
    <n v="100"/>
  </r>
  <r>
    <s v="92d14edfb62ee5ae7fdff70b0f4e7233"/>
    <x v="0"/>
    <n v="8"/>
    <n v="13"/>
    <n v="487.65"/>
    <n v="2.77"/>
    <n v="100"/>
  </r>
  <r>
    <s v="f650a9708fa1bab22bdd8d3a818cc415"/>
    <x v="6"/>
    <n v="4"/>
    <n v="4"/>
    <n v="487.48"/>
    <n v="4"/>
    <n v="100"/>
  </r>
  <r>
    <s v="dd88d13bea9e4c2bf47daf224f8141e5"/>
    <x v="8"/>
    <n v="1"/>
    <n v="1"/>
    <n v="487.38"/>
    <n v="5"/>
    <n v="100"/>
  </r>
  <r>
    <s v="ae8bfdbf1c2a2a2dee92d799db0a31c6"/>
    <x v="4"/>
    <n v="8"/>
    <n v="8"/>
    <n v="486.14"/>
    <n v="4.13"/>
    <n v="100"/>
  </r>
  <r>
    <s v="ab27bbbad5239bc31a34709275a70db4"/>
    <x v="0"/>
    <n v="3"/>
    <n v="11"/>
    <n v="485.05"/>
    <n v="5"/>
    <n v="100"/>
  </r>
  <r>
    <s v="0a82f5fb06a4fe4ac2cf7cb412ec71b8"/>
    <x v="0"/>
    <n v="2"/>
    <n v="2"/>
    <n v="484.8"/>
    <n v="5"/>
    <n v="100"/>
  </r>
  <r>
    <s v="e546117ed9cafbc40239c0c78635c584"/>
    <x v="0"/>
    <n v="2"/>
    <n v="2"/>
    <n v="484.34"/>
    <n v="4.5"/>
    <n v="100"/>
  </r>
  <r>
    <s v="e53d5b9b29d1218281f4a907ada18626"/>
    <x v="4"/>
    <n v="4"/>
    <n v="5"/>
    <n v="483.92"/>
    <n v="4.8"/>
    <n v="100"/>
  </r>
  <r>
    <s v="3076499bbc033a927bf4a8a41bcf7fd4"/>
    <x v="0"/>
    <n v="7"/>
    <n v="9"/>
    <n v="483.63"/>
    <n v="4.4400000000000004"/>
    <n v="100"/>
  </r>
  <r>
    <s v="bc30de0d71bd6260b936a026b5cf7200"/>
    <x v="0"/>
    <n v="3"/>
    <n v="3"/>
    <n v="482.85"/>
    <n v="4.67"/>
    <n v="100"/>
  </r>
  <r>
    <s v="64c9a1db4e73e19aaafd3286dc448c96"/>
    <x v="4"/>
    <n v="1"/>
    <n v="1"/>
    <n v="482.6"/>
    <n v="5"/>
    <n v="100"/>
  </r>
  <r>
    <s v="189ca3538ce9f920cacf0f982cbe223b"/>
    <x v="0"/>
    <n v="4"/>
    <n v="5"/>
    <n v="481.67"/>
    <n v="3.8"/>
    <n v="100"/>
  </r>
  <r>
    <s v="dc50afafdfa325eadc890c7fa42a8f4e"/>
    <x v="4"/>
    <n v="4"/>
    <n v="4"/>
    <n v="481.48"/>
    <n v="4.75"/>
    <n v="100"/>
  </r>
  <r>
    <s v="0f0c984a4a955310903b6b6008660bad"/>
    <x v="0"/>
    <n v="4"/>
    <n v="4"/>
    <n v="481.38"/>
    <n v="3.75"/>
    <n v="100"/>
  </r>
  <r>
    <s v="392353362d22cc2c236e1ee81ff19890"/>
    <x v="6"/>
    <n v="5"/>
    <n v="10"/>
    <n v="480.67"/>
    <n v="4.5999999999999996"/>
    <n v="100"/>
  </r>
  <r>
    <s v="5275ca25d0358ca73864e0ae41be1320"/>
    <x v="0"/>
    <n v="4"/>
    <n v="4"/>
    <n v="478.82"/>
    <n v="4.75"/>
    <n v="100"/>
  </r>
  <r>
    <s v="042573af89b6d931f672efaf789d8358"/>
    <x v="0"/>
    <n v="3"/>
    <n v="3"/>
    <n v="478.57"/>
    <n v="3.67"/>
    <n v="66.7"/>
  </r>
  <r>
    <s v="2bf28e311bba65237358230cabac3f15"/>
    <x v="4"/>
    <n v="7"/>
    <n v="8"/>
    <n v="477.88"/>
    <n v="3.88"/>
    <n v="75"/>
  </r>
  <r>
    <s v="6d7f8d9d594e28796b6b3205b00f459c"/>
    <x v="4"/>
    <n v="3"/>
    <n v="3"/>
    <n v="477.01"/>
    <n v="3.67"/>
    <n v="100"/>
  </r>
  <r>
    <s v="a11a0e0ca67423425691db355cff69b0"/>
    <x v="0"/>
    <n v="2"/>
    <n v="2"/>
    <n v="476.98"/>
    <n v="5"/>
    <n v="100"/>
  </r>
  <r>
    <s v="aec99834ab5d38ead22766ada8497e87"/>
    <x v="4"/>
    <n v="1"/>
    <n v="1"/>
    <n v="476.51"/>
    <n v="5"/>
    <n v="100"/>
  </r>
  <r>
    <s v="a21c11ec5c3f03e7cc9f9203bff9e1c6"/>
    <x v="0"/>
    <n v="3"/>
    <n v="4"/>
    <n v="475.88"/>
    <n v="3"/>
    <n v="100"/>
  </r>
  <r>
    <s v="ffff564a4f9085cd26170f4732393726"/>
    <x v="0"/>
    <n v="8"/>
    <n v="8"/>
    <n v="474.35"/>
    <n v="3.25"/>
    <n v="100"/>
  </r>
  <r>
    <s v="6d2f2e3b539480db1e0842b3a4e32e6e"/>
    <x v="0"/>
    <n v="3"/>
    <n v="6"/>
    <n v="474.26"/>
    <n v="4.33"/>
    <n v="100"/>
  </r>
  <r>
    <s v="34a557286ead8fe75c989e0afcf7d98c"/>
    <x v="0"/>
    <n v="4"/>
    <n v="4"/>
    <n v="473.46"/>
    <n v="4.75"/>
    <n v="100"/>
  </r>
  <r>
    <s v="b56828a9f9027f3c918c04ca720d9e3c"/>
    <x v="0"/>
    <n v="3"/>
    <n v="3"/>
    <n v="471.61"/>
    <n v="2.67"/>
    <n v="66.7"/>
  </r>
  <r>
    <s v="fc4751cfe3b279c419615b9b00c1abb4"/>
    <x v="4"/>
    <n v="1"/>
    <n v="1"/>
    <n v="471.05"/>
    <n v="5"/>
    <n v="100"/>
  </r>
  <r>
    <s v="de66a66f2dd06bb9ec37aa96987466a3"/>
    <x v="2"/>
    <n v="7"/>
    <n v="8"/>
    <n v="468.98"/>
    <n v="4.25"/>
    <n v="100"/>
  </r>
  <r>
    <s v="1e9d5a33694bddb76316fd1f54734d20"/>
    <x v="13"/>
    <n v="2"/>
    <n v="2"/>
    <n v="468.94"/>
    <n v="4.5"/>
    <n v="100"/>
  </r>
  <r>
    <s v="f5fea3ffed6c2e889bab72705557c63a"/>
    <x v="2"/>
    <n v="1"/>
    <n v="1"/>
    <n v="468.8"/>
    <n v="5"/>
    <n v="0"/>
  </r>
  <r>
    <s v="5e106d93b717c2682b9383da480364a1"/>
    <x v="4"/>
    <n v="1"/>
    <n v="1"/>
    <n v="467.61"/>
    <n v="5"/>
    <n v="100"/>
  </r>
  <r>
    <s v="4dbd95a08b31ede5c82d3f861cb1ce1a"/>
    <x v="4"/>
    <n v="4"/>
    <n v="4"/>
    <n v="463.92"/>
    <n v="4.75"/>
    <n v="100"/>
  </r>
  <r>
    <s v="f12d3c2a14729ae461b920c11fe20fdc"/>
    <x v="0"/>
    <n v="9"/>
    <n v="11"/>
    <n v="459.32"/>
    <n v="4.2699999999999996"/>
    <n v="100"/>
  </r>
  <r>
    <s v="1acde099eb406aa220b1169b188b42da"/>
    <x v="0"/>
    <n v="9"/>
    <n v="10"/>
    <n v="458.5"/>
    <n v="4.3"/>
    <n v="100"/>
  </r>
  <r>
    <s v="57d2ba47f7a3209aa347532ae75c1165"/>
    <x v="6"/>
    <n v="2"/>
    <n v="2"/>
    <n v="458.24"/>
    <n v="4"/>
    <n v="100"/>
  </r>
  <r>
    <s v="c7dcd301ecfe5ab7f778ac172cf74be7"/>
    <x v="3"/>
    <n v="3"/>
    <n v="3"/>
    <n v="458.19"/>
    <n v="3"/>
    <n v="100"/>
  </r>
  <r>
    <s v="b67d6c666e8dce1d078c882825e12704"/>
    <x v="0"/>
    <n v="7"/>
    <n v="8"/>
    <n v="457.03"/>
    <n v="4.88"/>
    <n v="100"/>
  </r>
  <r>
    <s v="9b76ad3d04236f76bc71c59470305e13"/>
    <x v="0"/>
    <n v="2"/>
    <n v="3"/>
    <n v="456.63"/>
    <n v="5"/>
    <n v="100"/>
  </r>
  <r>
    <s v="7b7ed56ae755e2880f2b69632e839c1e"/>
    <x v="12"/>
    <n v="5"/>
    <n v="5"/>
    <n v="456.6"/>
    <n v="4.2"/>
    <n v="100"/>
  </r>
  <r>
    <s v="d2f3e277560ed4c6361284429b00f037"/>
    <x v="0"/>
    <n v="7"/>
    <n v="7"/>
    <n v="454.66"/>
    <n v="4.71"/>
    <n v="100"/>
  </r>
  <r>
    <s v="94d76e96eedd976258cd3278ce56d5f2"/>
    <x v="0"/>
    <n v="1"/>
    <n v="1"/>
    <n v="454.17"/>
    <n v="5"/>
    <n v="100"/>
  </r>
  <r>
    <s v="a45314082d50d578a4721c9787ce09ab"/>
    <x v="0"/>
    <n v="2"/>
    <n v="2"/>
    <n v="453.92"/>
    <n v="5"/>
    <n v="100"/>
  </r>
  <r>
    <s v="6bd503a8230299c9316fb0f726933927"/>
    <x v="12"/>
    <n v="4"/>
    <n v="5"/>
    <n v="453.89"/>
    <n v="4.5999999999999996"/>
    <n v="80"/>
  </r>
  <r>
    <s v="78ef7e885d17f35e2382a47aae8b8cce"/>
    <x v="8"/>
    <n v="3"/>
    <n v="3"/>
    <n v="453.44"/>
    <n v="4.67"/>
    <n v="100"/>
  </r>
  <r>
    <s v="27a56ff04b34c2ba34ce6ba4d3b9d616"/>
    <x v="0"/>
    <n v="8"/>
    <n v="8"/>
    <n v="452.27"/>
    <n v="4.13"/>
    <n v="87.5"/>
  </r>
  <r>
    <s v="7d294cf9a6a69dc6a0c3e540fff0e039"/>
    <x v="6"/>
    <n v="5"/>
    <n v="5"/>
    <n v="451.38"/>
    <n v="4.4000000000000004"/>
    <n v="100"/>
  </r>
  <r>
    <s v="c13ef0cfbe42f190780f621ce81f2234"/>
    <x v="0"/>
    <n v="1"/>
    <n v="1"/>
    <n v="451.28"/>
    <n v="3"/>
    <n v="0"/>
  </r>
  <r>
    <s v="62760d278921b5f352461620d68a9cee"/>
    <x v="0"/>
    <n v="3"/>
    <n v="3"/>
    <n v="450.1"/>
    <n v="3.67"/>
    <n v="66.7"/>
  </r>
  <r>
    <s v="432c67955c0acd1fd6b0b5d678766a71"/>
    <x v="0"/>
    <n v="1"/>
    <n v="1"/>
    <n v="449.65"/>
    <n v="5"/>
    <n v="100"/>
  </r>
  <r>
    <s v="1e8c6a4c538f286aee9573239740a4b4"/>
    <x v="0"/>
    <n v="5"/>
    <n v="5"/>
    <n v="446.82"/>
    <n v="3.8"/>
    <n v="100"/>
  </r>
  <r>
    <s v="e627629ba868740e287800f1a9be81c2"/>
    <x v="0"/>
    <n v="11"/>
    <n v="11"/>
    <n v="446.66"/>
    <n v="4.91"/>
    <n v="100"/>
  </r>
  <r>
    <s v="fe4cd9461203cee790d36792420b310f"/>
    <x v="3"/>
    <n v="3"/>
    <n v="3"/>
    <n v="445.53"/>
    <n v="4"/>
    <n v="100"/>
  </r>
  <r>
    <s v="73da1880b39c71de2b262bc7720c1494"/>
    <x v="0"/>
    <n v="2"/>
    <n v="2"/>
    <n v="444.99"/>
    <n v="5"/>
    <n v="100"/>
  </r>
  <r>
    <s v="79565f7d5603b24ddf07ade262547f2f"/>
    <x v="0"/>
    <n v="7"/>
    <n v="7"/>
    <n v="444.11"/>
    <n v="4.43"/>
    <n v="71.400000000000006"/>
  </r>
  <r>
    <s v="d263fa444c1504a75cbca5cc465f592a"/>
    <x v="0"/>
    <n v="1"/>
    <n v="1"/>
    <n v="444.07"/>
    <n v="5"/>
    <n v="100"/>
  </r>
  <r>
    <s v="fa14641f57b655e933124a9ea49cd7a5"/>
    <x v="0"/>
    <n v="7"/>
    <n v="7"/>
    <n v="442.99"/>
    <n v="4.57"/>
    <n v="100"/>
  </r>
  <r>
    <s v="e603cf3fec55f8697c9059638d6c8eb5"/>
    <x v="8"/>
    <n v="7"/>
    <n v="10"/>
    <n v="442.99"/>
    <n v="4.7"/>
    <n v="100"/>
  </r>
  <r>
    <s v="615005a3ef192c00c6f0e977cee3d2bc"/>
    <x v="0"/>
    <n v="10"/>
    <n v="11"/>
    <n v="442.14"/>
    <n v="3.91"/>
    <n v="90.9"/>
  </r>
  <r>
    <s v="5563732abe64c3036cb97ad924128dd1"/>
    <x v="0"/>
    <n v="2"/>
    <n v="3"/>
    <n v="441.6"/>
    <n v="4.67"/>
    <n v="100"/>
  </r>
  <r>
    <s v="4a23adac87cf538689fa600d976f78b2"/>
    <x v="0"/>
    <n v="3"/>
    <n v="3"/>
    <n v="440.41"/>
    <n v="4.33"/>
    <n v="100"/>
  </r>
  <r>
    <s v="a37c340b91cb0169e8b029db6440fba2"/>
    <x v="0"/>
    <n v="5"/>
    <n v="5"/>
    <n v="439.95"/>
    <n v="4.8"/>
    <n v="100"/>
  </r>
  <r>
    <s v="b98b715fe9e276204e2a3464f48cd796"/>
    <x v="0"/>
    <n v="4"/>
    <n v="4"/>
    <n v="439.53"/>
    <n v="4"/>
    <n v="100"/>
  </r>
  <r>
    <s v="c8660dcf9ba70575f45d80fe28c27713"/>
    <x v="0"/>
    <n v="4"/>
    <n v="7"/>
    <n v="438.99"/>
    <n v="4.71"/>
    <n v="85.7"/>
  </r>
  <r>
    <s v="51209b446b2073894bdc0face6c73ffc"/>
    <x v="9"/>
    <n v="2"/>
    <n v="4"/>
    <n v="438.88"/>
    <n v="4"/>
    <n v="100"/>
  </r>
  <r>
    <s v="830379336fad8c6f3b15a4a3ddb5c66e"/>
    <x v="0"/>
    <n v="2"/>
    <n v="4"/>
    <n v="438.38"/>
    <n v="4.5"/>
    <n v="100"/>
  </r>
  <r>
    <s v="0bfd0b434243adc5c2e1aa6baf19c6aa"/>
    <x v="2"/>
    <n v="6"/>
    <n v="6"/>
    <n v="436.99"/>
    <n v="3.67"/>
    <n v="100"/>
  </r>
  <r>
    <s v="184a67a8f9f63234d3a92340bbdb727f"/>
    <x v="6"/>
    <n v="7"/>
    <n v="10"/>
    <n v="436.85"/>
    <n v="3.9"/>
    <n v="100"/>
  </r>
  <r>
    <s v="12a8eb0f8d1cd3270695bf2a99f55966"/>
    <x v="0"/>
    <n v="2"/>
    <n v="2"/>
    <n v="436.67"/>
    <n v="3.5"/>
    <n v="100"/>
  </r>
  <r>
    <s v="9ac4f14370b1e24ddc58be041b7f99df"/>
    <x v="12"/>
    <n v="5"/>
    <n v="5"/>
    <n v="436.65"/>
    <n v="4.4000000000000004"/>
    <n v="100"/>
  </r>
  <r>
    <s v="4e85b538b0dad58852641540686d0e14"/>
    <x v="0"/>
    <n v="4"/>
    <n v="4"/>
    <n v="436.34"/>
    <n v="3.75"/>
    <n v="50"/>
  </r>
  <r>
    <s v="6650fcccd8cd2f7e55ffa524f30c4c59"/>
    <x v="0"/>
    <n v="2"/>
    <n v="2"/>
    <n v="436.11"/>
    <n v="3"/>
    <n v="100"/>
  </r>
  <r>
    <s v="61b18775be84fb700a6b2d0ba097bf66"/>
    <x v="0"/>
    <n v="4"/>
    <n v="5"/>
    <n v="436.01"/>
    <n v="4.5999999999999996"/>
    <n v="100"/>
  </r>
  <r>
    <s v="085f6f7e049c996695fb2074fe38d45e"/>
    <x v="0"/>
    <n v="6"/>
    <n v="8"/>
    <n v="435.96"/>
    <n v="3.63"/>
    <n v="100"/>
  </r>
  <r>
    <s v="a080fc8a850289b27500f6b49cca2553"/>
    <x v="0"/>
    <n v="4"/>
    <n v="4"/>
    <n v="435.57"/>
    <n v="4.75"/>
    <n v="100"/>
  </r>
  <r>
    <s v="9d39404483343dd55c7ae254494d8388"/>
    <x v="0"/>
    <n v="10"/>
    <n v="10"/>
    <n v="434.28"/>
    <n v="3.5"/>
    <n v="90"/>
  </r>
  <r>
    <s v="559d56f3b8f0bc2e5a9a62fe2ce2a39f"/>
    <x v="6"/>
    <n v="2"/>
    <n v="2"/>
    <n v="433.72"/>
    <n v="2.5"/>
    <n v="50"/>
  </r>
  <r>
    <s v="f44bdc12aa39f5271f0b95f66cd4c289"/>
    <x v="0"/>
    <n v="5"/>
    <n v="7"/>
    <n v="432.07"/>
    <n v="2.86"/>
    <n v="85.7"/>
  </r>
  <r>
    <s v="c1849d4d32d7a6cecd5aa471809d3135"/>
    <x v="0"/>
    <n v="3"/>
    <n v="3"/>
    <n v="430.71"/>
    <n v="4.33"/>
    <n v="100"/>
  </r>
  <r>
    <s v="f7315bb81aea4ddca2d39e249a801c98"/>
    <x v="0"/>
    <n v="2"/>
    <n v="2"/>
    <n v="430.08"/>
    <n v="4.5"/>
    <n v="100"/>
  </r>
  <r>
    <s v="97e4a63591ca439a2b8b7efd20e6e19e"/>
    <x v="2"/>
    <n v="5"/>
    <n v="5"/>
    <n v="428.5"/>
    <n v="4.4000000000000004"/>
    <n v="100"/>
  </r>
  <r>
    <s v="31eec405c9bb71dec8e2629a92e764fa"/>
    <x v="9"/>
    <n v="5"/>
    <n v="5"/>
    <n v="427.13"/>
    <n v="4.5999999999999996"/>
    <n v="100"/>
  </r>
  <r>
    <s v="52092ddbd3a58c450a4459bf051b2287"/>
    <x v="0"/>
    <n v="6"/>
    <n v="6"/>
    <n v="427.05"/>
    <n v="4.33"/>
    <n v="100"/>
  </r>
  <r>
    <s v="a64e44665225d19dfc0277eeeaaccc57"/>
    <x v="0"/>
    <n v="6"/>
    <n v="6"/>
    <n v="426.76"/>
    <n v="5"/>
    <n v="100"/>
  </r>
  <r>
    <s v="a5dd1946fb63ada8bcaa0c9cd8f11e22"/>
    <x v="5"/>
    <n v="6"/>
    <n v="7"/>
    <n v="426.33"/>
    <n v="3.86"/>
    <n v="100"/>
  </r>
  <r>
    <s v="6219ba2359cfb97f2e38fd4c321eb309"/>
    <x v="0"/>
    <n v="5"/>
    <n v="5"/>
    <n v="425.15"/>
    <n v="4"/>
    <n v="40"/>
  </r>
  <r>
    <s v="2f4b0d3b9634b647d4edee577d7ebb7e"/>
    <x v="0"/>
    <n v="10"/>
    <n v="11"/>
    <n v="422.31"/>
    <n v="4.91"/>
    <n v="100"/>
  </r>
  <r>
    <s v="b127efdabeffb5d559349c7b172eb75d"/>
    <x v="0"/>
    <n v="10"/>
    <n v="10"/>
    <n v="421.27"/>
    <n v="4.8"/>
    <n v="90"/>
  </r>
  <r>
    <s v="9c3c24eca51c52b91c1de727d2a2ae06"/>
    <x v="8"/>
    <n v="6"/>
    <n v="6"/>
    <n v="421.16"/>
    <n v="4.5"/>
    <n v="100"/>
  </r>
  <r>
    <s v="63191ead8d3b2f937cd1996fdcbbad20"/>
    <x v="0"/>
    <n v="1"/>
    <n v="1"/>
    <n v="420.29"/>
    <n v="5"/>
    <n v="100"/>
  </r>
  <r>
    <s v="b88e7c57cb2d8b973b7dd4a2bfa14b36"/>
    <x v="4"/>
    <n v="4"/>
    <n v="4"/>
    <n v="419.67"/>
    <n v="4.25"/>
    <n v="100"/>
  </r>
  <r>
    <s v="1b45169b635ef59425637e9a33eb5fb3"/>
    <x v="4"/>
    <n v="7"/>
    <n v="8"/>
    <n v="419.35"/>
    <n v="4.63"/>
    <n v="100"/>
  </r>
  <r>
    <s v="3afc536624bc2e65bddfb5db33cc01f3"/>
    <x v="3"/>
    <n v="6"/>
    <n v="6"/>
    <n v="419.07"/>
    <n v="3.5"/>
    <n v="100"/>
  </r>
  <r>
    <s v="ad75519a07f039025e83795a4418470f"/>
    <x v="12"/>
    <n v="3"/>
    <n v="9"/>
    <n v="417.92"/>
    <n v="3.22"/>
    <n v="100"/>
  </r>
  <r>
    <s v="03bd479e1d9484cdb14104d3023f7321"/>
    <x v="3"/>
    <n v="3"/>
    <n v="3"/>
    <n v="417.42"/>
    <n v="4.33"/>
    <n v="100"/>
  </r>
  <r>
    <s v="2f4b9d112bfa44a214bc6cef085d17c8"/>
    <x v="9"/>
    <n v="5"/>
    <n v="6"/>
    <n v="413.26"/>
    <n v="4.33"/>
    <n v="100"/>
  </r>
  <r>
    <s v="499ec63c58e51296c9cf57edcfe1c8a8"/>
    <x v="0"/>
    <n v="5"/>
    <n v="5"/>
    <n v="412.93"/>
    <n v="4.8"/>
    <n v="100"/>
  </r>
  <r>
    <s v="26b482dccfa29bd2e40703ba45523702"/>
    <x v="0"/>
    <n v="3"/>
    <n v="4"/>
    <n v="412.41"/>
    <n v="5"/>
    <n v="100"/>
  </r>
  <r>
    <s v="8936ba0de1073ee888cb3185ae5dc661"/>
    <x v="0"/>
    <n v="1"/>
    <n v="1"/>
    <n v="412.21"/>
    <n v="5"/>
    <n v="100"/>
  </r>
  <r>
    <s v="24c1de8d9551c0b4fbc53317d53efda8"/>
    <x v="11"/>
    <n v="1"/>
    <n v="1"/>
    <n v="412.12"/>
    <n v="5"/>
    <n v="100"/>
  </r>
  <r>
    <s v="a7ecf689b40a44361e259b28939023e4"/>
    <x v="9"/>
    <n v="1"/>
    <n v="1"/>
    <n v="410.91"/>
    <n v="5"/>
    <n v="100"/>
  </r>
  <r>
    <s v="f18112da765e0971ca5d510dec322bdd"/>
    <x v="6"/>
    <n v="2"/>
    <n v="2"/>
    <n v="410.75"/>
    <n v="4"/>
    <n v="100"/>
  </r>
  <r>
    <s v="76de363de16dacc923eec8daf91df504"/>
    <x v="6"/>
    <n v="2"/>
    <n v="2"/>
    <n v="410.42"/>
    <n v="2.5"/>
    <n v="100"/>
  </r>
  <r>
    <s v="579891617139df7d8671d373f0669622"/>
    <x v="2"/>
    <n v="8"/>
    <n v="8"/>
    <n v="408.5"/>
    <n v="4.5"/>
    <n v="75"/>
  </r>
  <r>
    <s v="2e0dba2da448400b1c11d7b4b22f32a4"/>
    <x v="0"/>
    <n v="7"/>
    <n v="13"/>
    <n v="407.7"/>
    <n v="3.77"/>
    <n v="100"/>
  </r>
  <r>
    <s v="131fcb0a0c9a47bba4474aacff0f14b7"/>
    <x v="0"/>
    <n v="4"/>
    <n v="4"/>
    <n v="406.41"/>
    <n v="4"/>
    <n v="100"/>
  </r>
  <r>
    <s v="a435b009cd956ea60748b5cfbddf2e24"/>
    <x v="0"/>
    <n v="3"/>
    <n v="3"/>
    <n v="406.39"/>
    <n v="4.33"/>
    <n v="66.7"/>
  </r>
  <r>
    <s v="a806a4bb063ea7ca6d374eafa50a6058"/>
    <x v="9"/>
    <n v="5"/>
    <n v="6"/>
    <n v="405.27"/>
    <n v="3.83"/>
    <n v="100"/>
  </r>
  <r>
    <s v="152ee17e4c8aaf53dac99f3462e4999b"/>
    <x v="6"/>
    <n v="6"/>
    <n v="6"/>
    <n v="404.93"/>
    <n v="4.33"/>
    <n v="100"/>
  </r>
  <r>
    <s v="184725737946a1a938bbbd1a9e978103"/>
    <x v="0"/>
    <n v="3"/>
    <n v="3"/>
    <n v="403.57"/>
    <n v="4.67"/>
    <n v="100"/>
  </r>
  <r>
    <s v="0743a0239d764b9a0f959a57d07e36ab"/>
    <x v="0"/>
    <n v="4"/>
    <n v="4"/>
    <n v="403.22"/>
    <n v="4.75"/>
    <n v="100"/>
  </r>
  <r>
    <s v="333c4210e76a1aa2ab817b99437e3ff1"/>
    <x v="0"/>
    <n v="2"/>
    <n v="2"/>
    <n v="402.43"/>
    <n v="5"/>
    <n v="100"/>
  </r>
  <r>
    <s v="9d489893ff6af05029671b785f54b998"/>
    <x v="0"/>
    <n v="5"/>
    <n v="6"/>
    <n v="401.24"/>
    <n v="4.17"/>
    <n v="100"/>
  </r>
  <r>
    <s v="c113b8df1fc375bc3d73d29c1b1144d1"/>
    <x v="0"/>
    <n v="3"/>
    <n v="5"/>
    <n v="400.87"/>
    <n v="4.2"/>
    <n v="100"/>
  </r>
  <r>
    <s v="69a43819c758c65a5befb0b471c954d7"/>
    <x v="4"/>
    <n v="2"/>
    <n v="3"/>
    <n v="400.76"/>
    <n v="4"/>
    <n v="100"/>
  </r>
  <r>
    <s v="a3082f442524a1be452e3189e003b361"/>
    <x v="0"/>
    <n v="3"/>
    <n v="4"/>
    <n v="399.25"/>
    <n v="4.25"/>
    <n v="100"/>
  </r>
  <r>
    <s v="38af8acfd46ac4a7bf754e8ca6736664"/>
    <x v="0"/>
    <n v="5"/>
    <n v="5"/>
    <n v="397.94"/>
    <n v="4.8"/>
    <n v="100"/>
  </r>
  <r>
    <s v="173d56ffbd4c56cb80fc3615487d712b"/>
    <x v="0"/>
    <n v="2"/>
    <n v="2"/>
    <n v="397.61"/>
    <n v="5"/>
    <n v="100"/>
  </r>
  <r>
    <s v="cf1313c6e2c01c2f4b014f97db4bcd2b"/>
    <x v="2"/>
    <n v="5"/>
    <n v="5"/>
    <n v="397"/>
    <n v="5"/>
    <n v="100"/>
  </r>
  <r>
    <s v="d5c530f4884a75ae0dba9c148718d278"/>
    <x v="3"/>
    <n v="5"/>
    <n v="8"/>
    <n v="396.14"/>
    <n v="2.88"/>
    <n v="87.5"/>
  </r>
  <r>
    <s v="15ead3a5037a918ddb520dfe39a3d2b9"/>
    <x v="3"/>
    <n v="6"/>
    <n v="7"/>
    <n v="394.72"/>
    <n v="4.8600000000000003"/>
    <n v="71.400000000000006"/>
  </r>
  <r>
    <s v="883dd81e82754ac2c65e9790a7db8c9a"/>
    <x v="4"/>
    <n v="5"/>
    <n v="5"/>
    <n v="394.46"/>
    <n v="4.4000000000000004"/>
    <n v="100"/>
  </r>
  <r>
    <s v="da20530872245d6cd9d2f5725613c430"/>
    <x v="8"/>
    <n v="2"/>
    <n v="3"/>
    <n v="394.22"/>
    <n v="4.67"/>
    <n v="100"/>
  </r>
  <r>
    <s v="e88c9b79e592e370d6bd852eeefbf057"/>
    <x v="4"/>
    <n v="8"/>
    <n v="9"/>
    <n v="393.98"/>
    <n v="4.78"/>
    <n v="100"/>
  </r>
  <r>
    <s v="ad87df7699e83b8a91822a4a0b765c3a"/>
    <x v="0"/>
    <n v="5"/>
    <n v="6"/>
    <n v="389.28"/>
    <n v="3.83"/>
    <n v="100"/>
  </r>
  <r>
    <s v="918717417d88a9f9ae9735567e6c7682"/>
    <x v="0"/>
    <n v="4"/>
    <n v="4"/>
    <n v="389.22"/>
    <n v="5"/>
    <n v="100"/>
  </r>
  <r>
    <s v="44f091b5abab8018f682fce8124b85e5"/>
    <x v="0"/>
    <n v="3"/>
    <n v="3"/>
    <n v="389.18"/>
    <n v="3.67"/>
    <n v="33.299999999999997"/>
  </r>
  <r>
    <s v="b8a0adc91af209270c2c725168eb00fd"/>
    <x v="0"/>
    <n v="6"/>
    <n v="6"/>
    <n v="388.49"/>
    <n v="4"/>
    <n v="100"/>
  </r>
  <r>
    <s v="52bb00821bcdd358a5a5a27e1f6be5a1"/>
    <x v="0"/>
    <n v="2"/>
    <n v="2"/>
    <n v="388.43"/>
    <n v="4.5"/>
    <n v="100"/>
  </r>
  <r>
    <s v="df47da4ae86fa4db890d05aaf24e21d8"/>
    <x v="0"/>
    <n v="5"/>
    <n v="5"/>
    <n v="387.68"/>
    <n v="4.2"/>
    <n v="100"/>
  </r>
  <r>
    <s v="249f0e9905a6e06ad6c6bea7547ab9f6"/>
    <x v="2"/>
    <n v="3"/>
    <n v="3"/>
    <n v="386.99"/>
    <n v="3.67"/>
    <n v="100"/>
  </r>
  <r>
    <s v="a9415cf907dfa12f9ed18693244f5329"/>
    <x v="3"/>
    <n v="1"/>
    <n v="2"/>
    <n v="385.42"/>
    <n v="5"/>
    <n v="100"/>
  </r>
  <r>
    <s v="48bad451945f5227341793478d6353ea"/>
    <x v="0"/>
    <n v="3"/>
    <n v="3"/>
    <n v="384.49"/>
    <n v="4"/>
    <n v="66.7"/>
  </r>
  <r>
    <s v="65a7c0788e4d632ccb5e1b594b87f0bb"/>
    <x v="0"/>
    <n v="3"/>
    <n v="9"/>
    <n v="384.12"/>
    <n v="4.1100000000000003"/>
    <n v="100"/>
  </r>
  <r>
    <s v="6da1992f915d77be95d7fa48b36904af"/>
    <x v="0"/>
    <n v="7"/>
    <n v="9"/>
    <n v="383.66"/>
    <n v="3.67"/>
    <n v="100"/>
  </r>
  <r>
    <s v="c79151301b9d90985d1fa52879213105"/>
    <x v="4"/>
    <n v="3"/>
    <n v="7"/>
    <n v="383.44"/>
    <n v="4.8600000000000003"/>
    <n v="100"/>
  </r>
  <r>
    <s v="6c1b6d0c604b776f844125f911eb7377"/>
    <x v="0"/>
    <n v="4"/>
    <n v="4"/>
    <n v="383.21"/>
    <n v="4"/>
    <n v="100"/>
  </r>
  <r>
    <s v="b9ec22de23f18567de0e09d776ca0309"/>
    <x v="10"/>
    <n v="2"/>
    <n v="2"/>
    <n v="382.47"/>
    <n v="5"/>
    <n v="100"/>
  </r>
  <r>
    <s v="ea4e9ce63a2134743b4a92777437fcdd"/>
    <x v="6"/>
    <n v="3"/>
    <n v="4"/>
    <n v="382.3"/>
    <n v="4.75"/>
    <n v="100"/>
  </r>
  <r>
    <s v="2a73cba571d90c694b7caca072ccf6ce"/>
    <x v="0"/>
    <n v="1"/>
    <n v="2"/>
    <n v="381.48"/>
    <n v="5"/>
    <n v="100"/>
  </r>
  <r>
    <s v="7dea6f73af847b42cc3985bd620f994d"/>
    <x v="4"/>
    <n v="2"/>
    <n v="2"/>
    <n v="380.17"/>
    <n v="4"/>
    <n v="100"/>
  </r>
  <r>
    <s v="aded58c8142dedc5494a81f948431fab"/>
    <x v="2"/>
    <n v="4"/>
    <n v="5"/>
    <n v="379.48"/>
    <n v="3.2"/>
    <n v="100"/>
  </r>
  <r>
    <s v="86bf77bdb52e615674772d5817c6212f"/>
    <x v="8"/>
    <n v="4"/>
    <n v="5"/>
    <n v="379.38"/>
    <n v="4.8"/>
    <n v="100"/>
  </r>
  <r>
    <s v="51f108f62cb87d61918159902c8f8583"/>
    <x v="4"/>
    <n v="3"/>
    <n v="3"/>
    <n v="378.76"/>
    <n v="4.33"/>
    <n v="100"/>
  </r>
  <r>
    <s v="2d22fc3089eb907b29ebff50581fb472"/>
    <x v="2"/>
    <n v="3"/>
    <n v="3"/>
    <n v="377.39"/>
    <n v="3.67"/>
    <n v="100"/>
  </r>
  <r>
    <s v="3d01d1c414c44b5943a09619ff3853cb"/>
    <x v="0"/>
    <n v="4"/>
    <n v="4"/>
    <n v="376.82"/>
    <n v="4.5"/>
    <n v="100"/>
  </r>
  <r>
    <s v="8fd3b4468f6425810648177996c14cbd"/>
    <x v="0"/>
    <n v="1"/>
    <n v="1"/>
    <n v="376.57"/>
    <n v="5"/>
    <n v="100"/>
  </r>
  <r>
    <s v="debe6615cd90cc0c2eac2b8988e1f628"/>
    <x v="0"/>
    <n v="5"/>
    <n v="5"/>
    <n v="374.03"/>
    <n v="4.5999999999999996"/>
    <n v="100"/>
  </r>
  <r>
    <s v="9b00cad94ef3078faf6fba2e792c158f"/>
    <x v="3"/>
    <n v="1"/>
    <n v="1"/>
    <n v="373.82"/>
    <n v="5"/>
    <n v="100"/>
  </r>
  <r>
    <s v="e83e93b71371817b11d78a63ff156aee"/>
    <x v="0"/>
    <n v="2"/>
    <n v="3"/>
    <n v="373.38"/>
    <n v="4.67"/>
    <n v="100"/>
  </r>
  <r>
    <s v="a7a9b880c49781da66651ccf4ba9ac38"/>
    <x v="0"/>
    <n v="3"/>
    <n v="4"/>
    <n v="373.07"/>
    <n v="3.75"/>
    <n v="100"/>
  </r>
  <r>
    <s v="b7d5b4b87af9d42b601865d3f3810bff"/>
    <x v="6"/>
    <n v="1"/>
    <n v="1"/>
    <n v="370.69"/>
    <n v="3"/>
    <n v="100"/>
  </r>
  <r>
    <s v="c76d418370990614e89e956c7a7567d9"/>
    <x v="0"/>
    <n v="2"/>
    <n v="2"/>
    <n v="369.77"/>
    <n v="3.5"/>
    <n v="100"/>
  </r>
  <r>
    <s v="9cf787a239c1aa29dbd76f153dc13f9a"/>
    <x v="0"/>
    <n v="4"/>
    <n v="4"/>
    <n v="368.4"/>
    <n v="4.75"/>
    <n v="100"/>
  </r>
  <r>
    <s v="6d1b9c9579132c87d2703ec38c30f2c5"/>
    <x v="4"/>
    <n v="4"/>
    <n v="4"/>
    <n v="367.39"/>
    <n v="4.5"/>
    <n v="100"/>
  </r>
  <r>
    <s v="0cab2da43793a6f3c5ed8514c5f54627"/>
    <x v="4"/>
    <n v="3"/>
    <n v="3"/>
    <n v="366.9"/>
    <n v="5"/>
    <n v="100"/>
  </r>
  <r>
    <s v="3a3e46d10f74d8a6ca76e2b538f106a0"/>
    <x v="0"/>
    <n v="2"/>
    <n v="5"/>
    <n v="366.57"/>
    <n v="4.8"/>
    <n v="100"/>
  </r>
  <r>
    <s v="12c2ed9cded6138cf0c75f525f565fc7"/>
    <x v="0"/>
    <n v="4"/>
    <n v="4"/>
    <n v="366.01"/>
    <n v="4.25"/>
    <n v="75"/>
  </r>
  <r>
    <s v="6dc9bec584588412a6a338830946a3e4"/>
    <x v="0"/>
    <n v="1"/>
    <n v="1"/>
    <n v="364.96"/>
    <n v="2"/>
    <n v="100"/>
  </r>
  <r>
    <s v="8c9348f33ae3dada25c99c99ade2af78"/>
    <x v="0"/>
    <n v="2"/>
    <n v="2"/>
    <n v="364.93"/>
    <n v="5"/>
    <n v="100"/>
  </r>
  <r>
    <s v="7957cac1a02f45d0a4a7e45626382ec2"/>
    <x v="4"/>
    <n v="1"/>
    <n v="1"/>
    <n v="364.64"/>
    <n v="4"/>
    <n v="100"/>
  </r>
  <r>
    <s v="2b402d5dc42554061f8ea98d1916f148"/>
    <x v="1"/>
    <n v="1"/>
    <n v="1"/>
    <n v="363.79"/>
    <n v="5"/>
    <n v="100"/>
  </r>
  <r>
    <s v="4b98b0428fc1932cc2514ef9ce2505e6"/>
    <x v="0"/>
    <n v="2"/>
    <n v="2"/>
    <n v="363.43"/>
    <n v="2"/>
    <n v="50"/>
  </r>
  <r>
    <s v="f8d5c7085db9a4ad2b8c1ffbeb2798c8"/>
    <x v="0"/>
    <n v="6"/>
    <n v="6"/>
    <n v="363.41"/>
    <n v="5"/>
    <n v="100"/>
  </r>
  <r>
    <s v="2b3b9ce054da76a7428df143a567b156"/>
    <x v="0"/>
    <n v="5"/>
    <n v="6"/>
    <n v="363.28"/>
    <n v="3.17"/>
    <n v="100"/>
  </r>
  <r>
    <s v="dbbcfe2c8d026742134ac3e28ccde274"/>
    <x v="4"/>
    <n v="4"/>
    <n v="4"/>
    <n v="362.97"/>
    <n v="4"/>
    <n v="100"/>
  </r>
  <r>
    <s v="6179a28a13a726c29b3bf54c070dccab"/>
    <x v="3"/>
    <n v="1"/>
    <n v="1"/>
    <n v="361.27"/>
    <n v="5"/>
    <n v="100"/>
  </r>
  <r>
    <s v="2c538755f1ca9540af144f266e70df6c"/>
    <x v="3"/>
    <n v="1"/>
    <n v="1"/>
    <n v="359.91"/>
    <n v="5"/>
    <n v="100"/>
  </r>
  <r>
    <s v="dcf3755cefcdc158ad0b7bdde51e871b"/>
    <x v="8"/>
    <n v="3"/>
    <n v="3"/>
    <n v="359.03"/>
    <n v="4"/>
    <n v="100"/>
  </r>
  <r>
    <s v="ec8463980a4e0ea9f8517aea1ed0c419"/>
    <x v="6"/>
    <n v="2"/>
    <n v="8"/>
    <n v="357.96"/>
    <n v="5"/>
    <n v="25"/>
  </r>
  <r>
    <s v="ea3ebea5317b0efbc663ecc8ce5e9bc2"/>
    <x v="6"/>
    <n v="3"/>
    <n v="3"/>
    <n v="357.35"/>
    <n v="4"/>
    <n v="100"/>
  </r>
  <r>
    <s v="1703bc09972dab9782e7a9194943b69f"/>
    <x v="3"/>
    <n v="1"/>
    <n v="1"/>
    <n v="356.11"/>
    <n v="5"/>
    <n v="100"/>
  </r>
  <r>
    <s v="bbe87dce25ba8b38bb61cc7210a3f10b"/>
    <x v="0"/>
    <n v="2"/>
    <n v="2"/>
    <n v="355.39"/>
    <n v="5"/>
    <n v="100"/>
  </r>
  <r>
    <s v="b76a1f8356322f12529c37b67d5c96c2"/>
    <x v="0"/>
    <n v="5"/>
    <n v="5"/>
    <n v="354.89"/>
    <n v="4.8"/>
    <n v="100"/>
  </r>
  <r>
    <s v="a81466620e46a6970b22ef40379fdfc9"/>
    <x v="6"/>
    <n v="2"/>
    <n v="2"/>
    <n v="354.78"/>
    <n v="5"/>
    <n v="100"/>
  </r>
  <r>
    <s v="adbe70ab2c97442046d393988c8d1d27"/>
    <x v="0"/>
    <n v="5"/>
    <n v="5"/>
    <n v="354.65"/>
    <n v="5"/>
    <n v="100"/>
  </r>
  <r>
    <s v="eebb3372362aa9a46975164bed19a7e7"/>
    <x v="0"/>
    <n v="4"/>
    <n v="4"/>
    <n v="354.61"/>
    <n v="3.25"/>
    <n v="50"/>
  </r>
  <r>
    <s v="d149de2f383552baea37a7198c2296ce"/>
    <x v="0"/>
    <n v="3"/>
    <n v="3"/>
    <n v="354.37"/>
    <n v="5"/>
    <n v="100"/>
  </r>
  <r>
    <s v="ba89796db68db180bd389de96b2ff3b6"/>
    <x v="0"/>
    <n v="2"/>
    <n v="2"/>
    <n v="353.26"/>
    <n v="5"/>
    <n v="100"/>
  </r>
  <r>
    <s v="4dc646b9b9e8e411ef48ba000ea3ac6f"/>
    <x v="0"/>
    <n v="4"/>
    <n v="5"/>
    <n v="353.26"/>
    <n v="2.4"/>
    <n v="80"/>
  </r>
  <r>
    <s v="7f35f9daf223da737b78738fbae4d977"/>
    <x v="0"/>
    <n v="5"/>
    <n v="5"/>
    <n v="353.01"/>
    <n v="4"/>
    <n v="100"/>
  </r>
  <r>
    <s v="0ec28cec4046a4a199b6de9b4c891d97"/>
    <x v="12"/>
    <n v="3"/>
    <n v="4"/>
    <n v="352.64"/>
    <n v="5"/>
    <n v="100"/>
  </r>
  <r>
    <s v="77714512e8d4dda9c234da8e3faf16e4"/>
    <x v="0"/>
    <n v="4"/>
    <n v="6"/>
    <n v="348.98"/>
    <n v="4"/>
    <n v="100"/>
  </r>
  <r>
    <s v="46ef1a25845fc051c2998d878354810c"/>
    <x v="3"/>
    <n v="5"/>
    <n v="5"/>
    <n v="348.45"/>
    <n v="4.4000000000000004"/>
    <n v="100"/>
  </r>
  <r>
    <s v="4e0d109ccfba9a1151c103049880c857"/>
    <x v="2"/>
    <n v="2"/>
    <n v="2"/>
    <n v="347.73"/>
    <n v="3"/>
    <n v="100"/>
  </r>
  <r>
    <s v="5236605f4d4b0b3e4df85b850393fca0"/>
    <x v="0"/>
    <n v="5"/>
    <n v="5"/>
    <n v="347.48"/>
    <n v="4.8"/>
    <n v="80"/>
  </r>
  <r>
    <s v="eb9267cccc90f1b49c8d2f9887c7dd97"/>
    <x v="5"/>
    <n v="1"/>
    <n v="1"/>
    <n v="346.27"/>
    <n v="5"/>
    <n v="100"/>
  </r>
  <r>
    <s v="508808d438fe2ff972ed13bb8f4a82e2"/>
    <x v="0"/>
    <n v="9"/>
    <n v="10"/>
    <n v="346.04"/>
    <n v="4.5999999999999996"/>
    <n v="100"/>
  </r>
  <r>
    <s v="71593c7413973a1e160057b80d4958f6"/>
    <x v="0"/>
    <n v="2"/>
    <n v="5"/>
    <n v="345.35"/>
    <n v="3.4"/>
    <n v="100"/>
  </r>
  <r>
    <s v="c286ec035ee04ba81c97508f0b5df544"/>
    <x v="4"/>
    <n v="1"/>
    <n v="1"/>
    <n v="344.67"/>
    <n v="4"/>
    <n v="100"/>
  </r>
  <r>
    <s v="2d9e8987a2ea5cf88dce330249043ff1"/>
    <x v="0"/>
    <n v="2"/>
    <n v="2"/>
    <n v="344.17"/>
    <n v="4.5"/>
    <n v="100"/>
  </r>
  <r>
    <s v="d36b07fd3c5088e477a72d1fccfe29d4"/>
    <x v="0"/>
    <n v="1"/>
    <n v="1"/>
    <n v="339.86"/>
    <n v="5"/>
    <n v="100"/>
  </r>
  <r>
    <s v="94c49f20a123aeb9360dbf80ff912bf6"/>
    <x v="0"/>
    <n v="3"/>
    <n v="3"/>
    <n v="339.29"/>
    <n v="3.67"/>
    <n v="100"/>
  </r>
  <r>
    <s v="19a7c9f66ffa6452ff4b4c0cca71da27"/>
    <x v="4"/>
    <n v="1"/>
    <n v="1"/>
    <n v="338.74"/>
    <n v="5"/>
    <n v="100"/>
  </r>
  <r>
    <s v="e94b64dc6979b302a5a5be1662c83bb6"/>
    <x v="0"/>
    <n v="2"/>
    <n v="2"/>
    <n v="338.63"/>
    <n v="5"/>
    <n v="100"/>
  </r>
  <r>
    <s v="33d677f27a69b84051204ee4ae76eaca"/>
    <x v="6"/>
    <n v="9"/>
    <n v="10"/>
    <n v="338.49"/>
    <n v="4.5999999999999996"/>
    <n v="100"/>
  </r>
  <r>
    <s v="e819bcfade7b5d88a27325eb6cfd62c5"/>
    <x v="0"/>
    <n v="5"/>
    <n v="11"/>
    <n v="338.25"/>
    <n v="3.55"/>
    <n v="90.9"/>
  </r>
  <r>
    <s v="c5ebe6598748b0aeaa61cfb820478b92"/>
    <x v="8"/>
    <n v="3"/>
    <n v="3"/>
    <n v="337.17"/>
    <n v="4.67"/>
    <n v="100"/>
  </r>
  <r>
    <s v="c70a353f02429c00775a46a75fb787da"/>
    <x v="0"/>
    <n v="6"/>
    <n v="6"/>
    <n v="336.94"/>
    <n v="4.67"/>
    <n v="100"/>
  </r>
  <r>
    <s v="c0f783394e37cd9c9d7f5f81141450fa"/>
    <x v="0"/>
    <n v="6"/>
    <n v="6"/>
    <n v="336.75"/>
    <n v="3.6"/>
    <n v="100"/>
  </r>
  <r>
    <s v="e83c76265fc54bf41eac728805e4da77"/>
    <x v="0"/>
    <n v="8"/>
    <n v="8"/>
    <n v="336.49"/>
    <n v="3.63"/>
    <n v="87.5"/>
  </r>
  <r>
    <s v="d9d43faf741ceaa8da52fdbb81d9e0e3"/>
    <x v="0"/>
    <n v="4"/>
    <n v="6"/>
    <n v="335.79"/>
    <n v="3.67"/>
    <n v="100"/>
  </r>
  <r>
    <s v="3b18f9856c6eb2413eafedb58e9eecd9"/>
    <x v="0"/>
    <n v="1"/>
    <n v="1"/>
    <n v="335.09"/>
    <n v="5"/>
    <n v="100"/>
  </r>
  <r>
    <s v="baa49d93c8c8841e27400a300f5d74b2"/>
    <x v="6"/>
    <n v="6"/>
    <n v="6"/>
    <n v="334.42"/>
    <n v="4.5"/>
    <n v="100"/>
  </r>
  <r>
    <s v="20611af7866c6068fd5ae1f9dbe15c92"/>
    <x v="0"/>
    <n v="2"/>
    <n v="2"/>
    <n v="334.3"/>
    <n v="4.5"/>
    <n v="100"/>
  </r>
  <r>
    <s v="21d59342ba150175ca2aa4f8faddeca6"/>
    <x v="0"/>
    <n v="2"/>
    <n v="2"/>
    <n v="334.29"/>
    <n v="4.5"/>
    <n v="100"/>
  </r>
  <r>
    <s v="94b9108d4b637ba65bb4f1e53cfcf8d8"/>
    <x v="0"/>
    <n v="7"/>
    <n v="8"/>
    <n v="334.09"/>
    <n v="4.5"/>
    <n v="87.5"/>
  </r>
  <r>
    <s v="c611f4ce9ce875bcc063fa97fd4d7d12"/>
    <x v="0"/>
    <n v="1"/>
    <n v="1"/>
    <n v="332.25"/>
    <n v="4"/>
    <n v="0"/>
  </r>
  <r>
    <s v="83c465a786b06574376909b35ef6752a"/>
    <x v="0"/>
    <n v="3"/>
    <n v="3"/>
    <n v="330.46"/>
    <n v="5"/>
    <n v="100"/>
  </r>
  <r>
    <s v="09883d9ab71c8fe8a9bfc7fc3075b07e"/>
    <x v="0"/>
    <n v="4"/>
    <n v="4"/>
    <n v="330.09"/>
    <n v="4"/>
    <n v="75"/>
  </r>
  <r>
    <s v="14f2b3587172b9db894c9bad8dab520b"/>
    <x v="8"/>
    <n v="2"/>
    <n v="2"/>
    <n v="330.06"/>
    <n v="2.5"/>
    <n v="100"/>
  </r>
  <r>
    <s v="661ad5fcc28cdfb8bcadb12bb2272475"/>
    <x v="6"/>
    <n v="4"/>
    <n v="7"/>
    <n v="329.71"/>
    <n v="5"/>
    <n v="100"/>
  </r>
  <r>
    <s v="5733d806668f8712c24b9abaefbfa642"/>
    <x v="0"/>
    <n v="2"/>
    <n v="2"/>
    <n v="329.68"/>
    <n v="5"/>
    <n v="100"/>
  </r>
  <r>
    <s v="bc39d8938f90a3a2b98193723ed59774"/>
    <x v="0"/>
    <n v="2"/>
    <n v="2"/>
    <n v="329.11"/>
    <n v="4"/>
    <n v="100"/>
  </r>
  <r>
    <s v="bdb3edbaee43a761e2d4f258dc08f348"/>
    <x v="0"/>
    <n v="5"/>
    <n v="5"/>
    <n v="328.36"/>
    <n v="3.8"/>
    <n v="80"/>
  </r>
  <r>
    <s v="48b6c3f4c6a93171da04b75313f2130f"/>
    <x v="0"/>
    <n v="2"/>
    <n v="2"/>
    <n v="328.06"/>
    <n v="5"/>
    <n v="100"/>
  </r>
  <r>
    <s v="0761743cbffb25d7148189e9f1a5f03a"/>
    <x v="0"/>
    <n v="3"/>
    <n v="7"/>
    <n v="327.39999999999998"/>
    <n v="4.29"/>
    <n v="100"/>
  </r>
  <r>
    <s v="ede2977fbaf3738583170735ca403f6c"/>
    <x v="4"/>
    <n v="1"/>
    <n v="1"/>
    <n v="327.25"/>
    <n v="5"/>
    <n v="100"/>
  </r>
  <r>
    <s v="f410c8873029fcc3809b9df6d0b28914"/>
    <x v="0"/>
    <n v="2"/>
    <n v="2"/>
    <n v="327.10000000000002"/>
    <n v="5"/>
    <n v="100"/>
  </r>
  <r>
    <s v="10264f60a8f0a4d2f30810f5c661c673"/>
    <x v="0"/>
    <n v="4"/>
    <n v="4"/>
    <n v="326.45999999999998"/>
    <n v="5"/>
    <n v="100"/>
  </r>
  <r>
    <s v="5194c22ed1f616ec0c0f33c571542879"/>
    <x v="3"/>
    <n v="4"/>
    <n v="4"/>
    <n v="326.45"/>
    <n v="4.25"/>
    <n v="100"/>
  </r>
  <r>
    <s v="9b1ab052f5fca308ba743ac789ebb2e1"/>
    <x v="4"/>
    <n v="2"/>
    <n v="2"/>
    <n v="326.08"/>
    <n v="4"/>
    <n v="100"/>
  </r>
  <r>
    <s v="ebd1417732defaf66c50b5a800eb293e"/>
    <x v="4"/>
    <n v="1"/>
    <n v="1"/>
    <n v="325.33"/>
    <n v="5"/>
    <n v="100"/>
  </r>
  <r>
    <s v="25debeafbce801fdd479539350185eee"/>
    <x v="0"/>
    <n v="5"/>
    <n v="6"/>
    <n v="324.97000000000003"/>
    <n v="2.67"/>
    <n v="100"/>
  </r>
  <r>
    <s v="2ee0a0689f2f6a72f35a7cb6033f6e7e"/>
    <x v="0"/>
    <n v="4"/>
    <n v="4"/>
    <n v="324.83999999999997"/>
    <n v="4"/>
    <n v="100"/>
  </r>
  <r>
    <s v="aa762680c40618316a896838866140ea"/>
    <x v="4"/>
    <n v="3"/>
    <n v="3"/>
    <n v="323.45999999999998"/>
    <n v="3.33"/>
    <n v="66.7"/>
  </r>
  <r>
    <s v="ea1776927851da2532aa70d6a32c095a"/>
    <x v="0"/>
    <n v="2"/>
    <n v="2"/>
    <n v="322.08"/>
    <n v="3.5"/>
    <n v="100"/>
  </r>
  <r>
    <s v="28fb0829fd777877cdc350d25cb5bd5b"/>
    <x v="0"/>
    <n v="2"/>
    <n v="2"/>
    <n v="321.88"/>
    <n v="5"/>
    <n v="100"/>
  </r>
  <r>
    <s v="252e76235acb79183cfca6e34f13337d"/>
    <x v="0"/>
    <n v="3"/>
    <n v="4"/>
    <n v="321.77"/>
    <n v="3.75"/>
    <n v="100"/>
  </r>
  <r>
    <s v="6bb66d9870c2e01c05655c7ed0e7ee13"/>
    <x v="0"/>
    <n v="3"/>
    <n v="3"/>
    <n v="321.02"/>
    <n v="3.67"/>
    <n v="100"/>
  </r>
  <r>
    <s v="c9e5ad1f6647f5dbd1172adf6ae3cada"/>
    <x v="8"/>
    <n v="4"/>
    <n v="4"/>
    <n v="319.98"/>
    <n v="4.75"/>
    <n v="100"/>
  </r>
  <r>
    <s v="d73cbd89533ce8b041a9190241453ac8"/>
    <x v="3"/>
    <n v="3"/>
    <n v="3"/>
    <n v="319.29000000000002"/>
    <n v="4.33"/>
    <n v="100"/>
  </r>
  <r>
    <s v="9539213aa8e023c01937bef95dc006da"/>
    <x v="0"/>
    <n v="9"/>
    <n v="9"/>
    <n v="319.04000000000002"/>
    <n v="4.5599999999999996"/>
    <n v="88.9"/>
  </r>
  <r>
    <s v="f626e15b7314c267e4429010866f70e9"/>
    <x v="0"/>
    <n v="5"/>
    <n v="7"/>
    <n v="319.02"/>
    <n v="4.1399999999999997"/>
    <n v="100"/>
  </r>
  <r>
    <s v="b76f4d90e85657a240495c876313adc5"/>
    <x v="0"/>
    <n v="1"/>
    <n v="1"/>
    <n v="318.3"/>
    <n v="5"/>
    <n v="100"/>
  </r>
  <r>
    <s v="422be4cc81a457fdb46f47edeb968ae5"/>
    <x v="0"/>
    <n v="1"/>
    <n v="1"/>
    <n v="317.37"/>
    <n v="5"/>
    <n v="100"/>
  </r>
  <r>
    <s v="c3fe93ba3085f92855c97e57f38c8c05"/>
    <x v="4"/>
    <n v="6"/>
    <n v="6"/>
    <n v="317.18"/>
    <n v="5"/>
    <n v="100"/>
  </r>
  <r>
    <s v="6c6e3d67f969468f3bfd33f827a31222"/>
    <x v="4"/>
    <n v="5"/>
    <n v="6"/>
    <n v="316.41000000000003"/>
    <n v="4.83"/>
    <n v="100"/>
  </r>
  <r>
    <s v="53088c75f948b48a7ece173ac17f0c12"/>
    <x v="8"/>
    <n v="3"/>
    <n v="3"/>
    <n v="316.23"/>
    <n v="5"/>
    <n v="100"/>
  </r>
  <r>
    <s v="8dfbc5ff27df12f6cef751d3b9554222"/>
    <x v="4"/>
    <n v="4"/>
    <n v="4"/>
    <n v="316.12"/>
    <n v="4.5"/>
    <n v="100"/>
  </r>
  <r>
    <s v="791cfcfe22fe4a771ece27f90017da92"/>
    <x v="0"/>
    <n v="1"/>
    <n v="1"/>
    <n v="315.98"/>
    <n v="1"/>
    <n v="0"/>
  </r>
  <r>
    <s v="485452467ff670447e84a8370c3fc898"/>
    <x v="6"/>
    <n v="3"/>
    <n v="3"/>
    <n v="315.44"/>
    <n v="4.67"/>
    <n v="100"/>
  </r>
  <r>
    <s v="04ee0ec01589969663ba5967c0e0bdc0"/>
    <x v="8"/>
    <n v="1"/>
    <n v="1"/>
    <n v="314.32"/>
    <n v="5"/>
    <n v="100"/>
  </r>
  <r>
    <s v="31be790e64fc99f8ff48ec2bd18a3104"/>
    <x v="0"/>
    <n v="6"/>
    <n v="6"/>
    <n v="313.68"/>
    <n v="4.33"/>
    <n v="66.7"/>
  </r>
  <r>
    <s v="87d73636a3acf123e842bb890a4db036"/>
    <x v="0"/>
    <n v="1"/>
    <n v="1"/>
    <n v="313.61"/>
    <n v="5"/>
    <n v="100"/>
  </r>
  <r>
    <s v="f00f5b35d0abcacbdd863672f4bb2c1a"/>
    <x v="0"/>
    <n v="1"/>
    <n v="1"/>
    <n v="313.43"/>
    <n v="4"/>
    <n v="100"/>
  </r>
  <r>
    <s v="5721089ba9214e80074f27d5a03fc0eb"/>
    <x v="0"/>
    <n v="5"/>
    <n v="7"/>
    <n v="312.57"/>
    <n v="5"/>
    <n v="100"/>
  </r>
  <r>
    <s v="a9ae440659f48b7849df83e82734150b"/>
    <x v="0"/>
    <n v="1"/>
    <n v="1"/>
    <n v="312.02"/>
    <n v="5"/>
    <n v="100"/>
  </r>
  <r>
    <s v="94ca168e8bcb407ab85c5da308863027"/>
    <x v="0"/>
    <n v="5"/>
    <n v="5"/>
    <n v="311.66000000000003"/>
    <n v="5"/>
    <n v="100"/>
  </r>
  <r>
    <s v="72146da5774cabf2632faedcae097a76"/>
    <x v="4"/>
    <n v="4"/>
    <n v="6"/>
    <n v="311.43"/>
    <n v="4.33"/>
    <n v="83.3"/>
  </r>
  <r>
    <s v="08ad4ac1388e4420ca531c3edfc46198"/>
    <x v="0"/>
    <n v="6"/>
    <n v="7"/>
    <n v="310.67"/>
    <n v="2.71"/>
    <n v="100"/>
  </r>
  <r>
    <s v="9853a239ab7b7ebbdc3a21248d5b8e1f"/>
    <x v="4"/>
    <n v="4"/>
    <n v="4"/>
    <n v="310.2"/>
    <n v="3.75"/>
    <n v="75"/>
  </r>
  <r>
    <s v="d594982fd877af63ace38ea1fca27c76"/>
    <x v="0"/>
    <n v="7"/>
    <n v="7"/>
    <n v="309.7"/>
    <n v="4.43"/>
    <n v="100"/>
  </r>
  <r>
    <s v="13d95f0f6f73943d4ceffad0fc2cd32c"/>
    <x v="12"/>
    <n v="1"/>
    <n v="1"/>
    <n v="309.32"/>
    <n v="3"/>
    <n v="0"/>
  </r>
  <r>
    <s v="446cc09cdbb130904da114e807dbec40"/>
    <x v="0"/>
    <n v="3"/>
    <n v="3"/>
    <n v="306.97000000000003"/>
    <n v="4.67"/>
    <n v="100"/>
  </r>
  <r>
    <s v="3c88ed2e76a2247933a15daa7161eb1c"/>
    <x v="0"/>
    <n v="1"/>
    <n v="1"/>
    <n v="306.2"/>
    <n v="5"/>
    <n v="100"/>
  </r>
  <r>
    <s v="d2572f31e9023e9850ef986a636ff9bf"/>
    <x v="3"/>
    <n v="1"/>
    <n v="1"/>
    <n v="305.69"/>
    <n v="5"/>
    <n v="100"/>
  </r>
  <r>
    <s v="85044848b1b767db2a4a58526adef4b4"/>
    <x v="0"/>
    <n v="4"/>
    <n v="4"/>
    <n v="305.51"/>
    <n v="3.25"/>
    <n v="100"/>
  </r>
  <r>
    <s v="9c54608f0996c32ae4743089d915f845"/>
    <x v="4"/>
    <n v="3"/>
    <n v="3"/>
    <n v="304.72000000000003"/>
    <n v="4"/>
    <n v="100"/>
  </r>
  <r>
    <s v="aadfe0417e61315688b6bd7043361e25"/>
    <x v="12"/>
    <n v="1"/>
    <n v="1"/>
    <n v="304.18"/>
    <n v="4"/>
    <n v="100"/>
  </r>
  <r>
    <s v="f682e0f848abafc6f41e0d4e868c66ef"/>
    <x v="0"/>
    <n v="2"/>
    <n v="2"/>
    <n v="304"/>
    <n v="3.5"/>
    <n v="50"/>
  </r>
  <r>
    <s v="fb8904a8ea99f8831b64ce27db2c1765"/>
    <x v="0"/>
    <n v="2"/>
    <n v="2"/>
    <n v="302.36"/>
    <n v="4.5"/>
    <n v="100"/>
  </r>
  <r>
    <s v="ebef8d8c92b4fd3226e5d407bbff21ac"/>
    <x v="0"/>
    <n v="3"/>
    <n v="3"/>
    <n v="302.06"/>
    <n v="2.67"/>
    <n v="66.7"/>
  </r>
  <r>
    <s v="353e21e8bf8de2722b4fae1636664b76"/>
    <x v="8"/>
    <n v="4"/>
    <n v="4"/>
    <n v="299.89"/>
    <n v="2.5"/>
    <n v="100"/>
  </r>
  <r>
    <s v="f419677537694f0462a91990df6ca44f"/>
    <x v="0"/>
    <n v="6"/>
    <n v="6"/>
    <n v="299.27999999999997"/>
    <n v="4"/>
    <n v="83.3"/>
  </r>
  <r>
    <s v="c990d6cf976a5718aaedc539f383ab88"/>
    <x v="0"/>
    <n v="8"/>
    <n v="9"/>
    <n v="298.45"/>
    <n v="3.44"/>
    <n v="55.6"/>
  </r>
  <r>
    <s v="f9bbdd976532d50b7816d285a22bd01e"/>
    <x v="0"/>
    <n v="2"/>
    <n v="2"/>
    <n v="298.37"/>
    <n v="5"/>
    <n v="50"/>
  </r>
  <r>
    <s v="534a01cc6df1e034e05c32028a291fa2"/>
    <x v="0"/>
    <n v="5"/>
    <n v="5"/>
    <n v="295.45"/>
    <n v="4.4000000000000004"/>
    <n v="100"/>
  </r>
  <r>
    <s v="85ecf03781da592876b7844acc1b729f"/>
    <x v="0"/>
    <n v="2"/>
    <n v="2"/>
    <n v="294.89999999999998"/>
    <n v="4.5"/>
    <n v="50"/>
  </r>
  <r>
    <s v="32f1bb9dfa65bc7df5c0d9d95a616be4"/>
    <x v="0"/>
    <n v="4"/>
    <n v="5"/>
    <n v="294.8"/>
    <n v="3.4"/>
    <n v="60"/>
  </r>
  <r>
    <s v="88ef59b51bdaa941d10a853429f2b6ce"/>
    <x v="4"/>
    <n v="2"/>
    <n v="2"/>
    <n v="294.7"/>
    <n v="2"/>
    <n v="100"/>
  </r>
  <r>
    <s v="0e44d110fa6a54e121cb2c095a77762f"/>
    <x v="0"/>
    <n v="6"/>
    <n v="6"/>
    <n v="293.38"/>
    <n v="4.33"/>
    <n v="83.3"/>
  </r>
  <r>
    <s v="58c851d1a3c7cd3da329eb59453fed44"/>
    <x v="0"/>
    <n v="2"/>
    <n v="2"/>
    <n v="293.26"/>
    <n v="5"/>
    <n v="100"/>
  </r>
  <r>
    <s v="1e26c56af8d48424e1df0140a2401f83"/>
    <x v="0"/>
    <n v="2"/>
    <n v="2"/>
    <n v="292.39"/>
    <n v="5"/>
    <n v="100"/>
  </r>
  <r>
    <s v="1e47defeeadeca0e9a18fa5a9311e735"/>
    <x v="0"/>
    <n v="3"/>
    <n v="3"/>
    <n v="291.62"/>
    <n v="5"/>
    <n v="100"/>
  </r>
  <r>
    <s v="8060d731897e33b5c5ae575ce1e209e1"/>
    <x v="0"/>
    <n v="5"/>
    <n v="5"/>
    <n v="290.95"/>
    <n v="4.8"/>
    <n v="100"/>
  </r>
  <r>
    <s v="42b6488f5b8246d9141712abd4b1b693"/>
    <x v="4"/>
    <n v="2"/>
    <n v="2"/>
    <n v="289.8"/>
    <n v="4"/>
    <n v="100"/>
  </r>
  <r>
    <s v="bab0a8cd684e41ba6e2637dca0979d3b"/>
    <x v="2"/>
    <n v="1"/>
    <n v="1"/>
    <n v="289.04000000000002"/>
    <n v="5"/>
    <n v="100"/>
  </r>
  <r>
    <s v="8ccf3cf69651cc1d8a02c8bfaf3b8568"/>
    <x v="0"/>
    <n v="2"/>
    <n v="2"/>
    <n v="288.63"/>
    <n v="3.5"/>
    <n v="50"/>
  </r>
  <r>
    <s v="88ae906ea2acf6971f26c3e8b7cb4357"/>
    <x v="0"/>
    <n v="3"/>
    <n v="3"/>
    <n v="288.01"/>
    <n v="3.33"/>
    <n v="66.7"/>
  </r>
  <r>
    <s v="10cdd491d1dbea8fb4ead97b19c334ce"/>
    <x v="3"/>
    <n v="3"/>
    <n v="3"/>
    <n v="287.76"/>
    <n v="5"/>
    <n v="100"/>
  </r>
  <r>
    <s v="6548c2550b6e2d8f18053216e1c7b6f3"/>
    <x v="0"/>
    <n v="3"/>
    <n v="5"/>
    <n v="287.55"/>
    <n v="5"/>
    <n v="100"/>
  </r>
  <r>
    <s v="e88f7a2995ba184710d339c5c4bf2e30"/>
    <x v="0"/>
    <n v="2"/>
    <n v="2"/>
    <n v="287.51"/>
    <n v="5"/>
    <n v="100"/>
  </r>
  <r>
    <s v="57fe6232e67823593374a2281d7a8af8"/>
    <x v="0"/>
    <n v="8"/>
    <n v="8"/>
    <n v="284.04000000000002"/>
    <n v="4.75"/>
    <n v="100"/>
  </r>
  <r>
    <s v="ec5c1d94df153d473b37f880977ae58e"/>
    <x v="0"/>
    <n v="2"/>
    <n v="3"/>
    <n v="283.74"/>
    <n v="1.67"/>
    <n v="100"/>
  </r>
  <r>
    <s v="483ca627d131e18f988349b1655c0acd"/>
    <x v="0"/>
    <n v="1"/>
    <n v="1"/>
    <n v="283.73"/>
    <n v="5"/>
    <n v="100"/>
  </r>
  <r>
    <s v="ab9db4cf53b08b828b64dccaafc2d9f0"/>
    <x v="8"/>
    <n v="4"/>
    <n v="4"/>
    <n v="283.60000000000002"/>
    <n v="5"/>
    <n v="100"/>
  </r>
  <r>
    <s v="ae45ad30c2d2e5913094769690a239d2"/>
    <x v="0"/>
    <n v="1"/>
    <n v="2"/>
    <n v="283.06"/>
    <n v="5"/>
    <n v="100"/>
  </r>
  <r>
    <s v="28405831a29823802aa22c084cfd0649"/>
    <x v="0"/>
    <n v="6"/>
    <n v="6"/>
    <n v="282.83"/>
    <n v="4.5"/>
    <n v="100"/>
  </r>
  <r>
    <s v="50bf89f1349bc0409a268c3a49678009"/>
    <x v="0"/>
    <n v="1"/>
    <n v="1"/>
    <n v="282.47000000000003"/>
    <n v="5"/>
    <n v="100"/>
  </r>
  <r>
    <s v="d7b2377bae6ace1b11fc69a11900ac36"/>
    <x v="0"/>
    <n v="3"/>
    <n v="3"/>
    <n v="282.22000000000003"/>
    <n v="3.67"/>
    <n v="66.7"/>
  </r>
  <r>
    <s v="2d2322d842118867781fc737e96d59a1"/>
    <x v="0"/>
    <n v="8"/>
    <n v="10"/>
    <n v="281.37"/>
    <n v="4.9000000000000004"/>
    <n v="90"/>
  </r>
  <r>
    <s v="984c273121e743dd14767befe6cb17f5"/>
    <x v="0"/>
    <n v="1"/>
    <n v="1"/>
    <n v="280.91000000000003"/>
    <n v="1"/>
    <n v="0"/>
  </r>
  <r>
    <s v="4ea2f12dbe91deeacd2c1e74f069a6e6"/>
    <x v="0"/>
    <n v="4"/>
    <n v="6"/>
    <n v="280.27"/>
    <n v="4.83"/>
    <n v="100"/>
  </r>
  <r>
    <s v="23ca5f678e0b3ea6c630b30fa8bf51ea"/>
    <x v="0"/>
    <n v="6"/>
    <n v="7"/>
    <n v="279.39"/>
    <n v="5"/>
    <n v="100"/>
  </r>
  <r>
    <s v="5e25c632f9db6cfb8bc100421c2737b6"/>
    <x v="6"/>
    <n v="1"/>
    <n v="1"/>
    <n v="278.91000000000003"/>
    <n v="5"/>
    <n v="100"/>
  </r>
  <r>
    <s v="e45edf75f568ed2f93f78d060e246e25"/>
    <x v="2"/>
    <n v="6"/>
    <n v="7"/>
    <n v="278.22000000000003"/>
    <n v="4.1399999999999997"/>
    <n v="100"/>
  </r>
  <r>
    <s v="5d505d2298ad549e4e4e835562fa0c1e"/>
    <x v="0"/>
    <n v="2"/>
    <n v="2"/>
    <n v="278.14"/>
    <n v="5"/>
    <n v="100"/>
  </r>
  <r>
    <s v="954e95f20808d7e5d11f0de292d078e0"/>
    <x v="3"/>
    <n v="3"/>
    <n v="4"/>
    <n v="277.95999999999998"/>
    <n v="4.75"/>
    <n v="100"/>
  </r>
  <r>
    <s v="70f7e8018e3d46c748c92f026aa2585a"/>
    <x v="0"/>
    <n v="1"/>
    <n v="2"/>
    <n v="277.68"/>
    <n v="5"/>
    <n v="100"/>
  </r>
  <r>
    <s v="3fadb4cba4c35bce6a7eaf9872d5623a"/>
    <x v="8"/>
    <n v="3"/>
    <n v="5"/>
    <n v="277.52"/>
    <n v="3.2"/>
    <n v="100"/>
  </r>
  <r>
    <s v="75745ef7bc7d4f3ea3380f6f5303f514"/>
    <x v="10"/>
    <n v="3"/>
    <n v="3"/>
    <n v="277.32"/>
    <n v="5"/>
    <n v="100"/>
  </r>
  <r>
    <s v="0af977692321d895349eded183341d28"/>
    <x v="0"/>
    <n v="2"/>
    <n v="2"/>
    <n v="277.22000000000003"/>
    <n v="4.5"/>
    <n v="100"/>
  </r>
  <r>
    <s v="3d49bfdd1b43a7fe169b3740067acc61"/>
    <x v="3"/>
    <n v="3"/>
    <n v="3"/>
    <n v="276.82"/>
    <n v="4.67"/>
    <n v="100"/>
  </r>
  <r>
    <s v="05e107217c7266362fd44b75b2cd4cc4"/>
    <x v="0"/>
    <n v="5"/>
    <n v="8"/>
    <n v="275.39"/>
    <n v="4.13"/>
    <n v="75"/>
  </r>
  <r>
    <s v="5e9f5bd34e0830569f05c9d4f56e04a8"/>
    <x v="8"/>
    <n v="2"/>
    <n v="2"/>
    <n v="274.86"/>
    <n v="4.5"/>
    <n v="100"/>
  </r>
  <r>
    <s v="e64882b4ef12aee8d0faca4db5b681f4"/>
    <x v="12"/>
    <n v="1"/>
    <n v="2"/>
    <n v="273.22000000000003"/>
    <n v="4"/>
    <n v="100"/>
  </r>
  <r>
    <s v="929f342384a6607afe143d789ade1316"/>
    <x v="4"/>
    <n v="4"/>
    <n v="4"/>
    <n v="272.76"/>
    <n v="5"/>
    <n v="100"/>
  </r>
  <r>
    <s v="c0aff2da32c17759d30b22fb0af6649d"/>
    <x v="6"/>
    <n v="4"/>
    <n v="5"/>
    <n v="272.33"/>
    <n v="3.8"/>
    <n v="100"/>
  </r>
  <r>
    <s v="d9cb0052a666de5308b32f32ad5f1b1c"/>
    <x v="0"/>
    <n v="3"/>
    <n v="3"/>
    <n v="270.49"/>
    <n v="3.67"/>
    <n v="100"/>
  </r>
  <r>
    <s v="28c7d8743fbc8679f484868cc0fcaefb"/>
    <x v="0"/>
    <n v="3"/>
    <n v="3"/>
    <n v="270.36"/>
    <n v="5"/>
    <n v="100"/>
  </r>
  <r>
    <s v="4c1c7281388a33dd06daac44f9fadbd1"/>
    <x v="0"/>
    <n v="5"/>
    <n v="5"/>
    <n v="269.91000000000003"/>
    <n v="4.8"/>
    <n v="100"/>
  </r>
  <r>
    <s v="e5d4b2b0c3bca22085f7a19a28de0c42"/>
    <x v="6"/>
    <n v="4"/>
    <n v="4"/>
    <n v="269.56"/>
    <n v="4.5"/>
    <n v="100"/>
  </r>
  <r>
    <s v="1e483cc5c76fef08d3ca05f9a8af7d01"/>
    <x v="0"/>
    <n v="9"/>
    <n v="10"/>
    <n v="268.37"/>
    <n v="4.4000000000000004"/>
    <n v="100"/>
  </r>
  <r>
    <s v="1c56ffe0e9dea2657fc6e95b53f40b13"/>
    <x v="0"/>
    <n v="3"/>
    <n v="3"/>
    <n v="267.39"/>
    <n v="4.33"/>
    <n v="100"/>
  </r>
  <r>
    <s v="4b90495391ac0bd181a80a459df1e718"/>
    <x v="8"/>
    <n v="1"/>
    <n v="1"/>
    <n v="266.11"/>
    <n v="4"/>
    <n v="100"/>
  </r>
  <r>
    <s v="33ab10be054370c254ddfcf0a6253422"/>
    <x v="2"/>
    <n v="4"/>
    <n v="4"/>
    <n v="265.52999999999997"/>
    <n v="5"/>
    <n v="100"/>
  </r>
  <r>
    <s v="cb32766839f443db85c82a43c4a6c19e"/>
    <x v="0"/>
    <n v="2"/>
    <n v="2"/>
    <n v="265.51"/>
    <n v="3"/>
    <n v="100"/>
  </r>
  <r>
    <s v="5f0057b677eb963672bf05dfa3f16c34"/>
    <x v="0"/>
    <n v="4"/>
    <n v="4"/>
    <n v="264.99"/>
    <n v="5"/>
    <n v="100"/>
  </r>
  <r>
    <s v="f8e2c1b59cd4225a3e4fd0d013a76b93"/>
    <x v="0"/>
    <n v="2"/>
    <n v="3"/>
    <n v="264.43"/>
    <n v="5"/>
    <n v="100"/>
  </r>
  <r>
    <s v="2a50b7ee5aebecc6fd0ff9784a4747d6"/>
    <x v="10"/>
    <n v="1"/>
    <n v="2"/>
    <n v="264.24"/>
    <n v="1"/>
    <n v="0"/>
  </r>
  <r>
    <s v="f3975e8a41157005d4bcbb358678cd9b"/>
    <x v="6"/>
    <n v="2"/>
    <n v="2"/>
    <n v="262.77999999999997"/>
    <n v="5"/>
    <n v="100"/>
  </r>
  <r>
    <s v="efb628aa07c8ca93d7db0d85b91a4f5a"/>
    <x v="2"/>
    <n v="1"/>
    <n v="1"/>
    <n v="262.10000000000002"/>
    <n v="4"/>
    <n v="0"/>
  </r>
  <r>
    <s v="615c3462099ffa940d37b17dfda19594"/>
    <x v="2"/>
    <n v="2"/>
    <n v="2"/>
    <n v="261.05"/>
    <n v="5"/>
    <n v="100"/>
  </r>
  <r>
    <s v="762fafdaa57a532ee0119731697579dd"/>
    <x v="0"/>
    <n v="5"/>
    <n v="5"/>
    <n v="260.87"/>
    <n v="5"/>
    <n v="100"/>
  </r>
  <r>
    <s v="4ce8b55b4bfa4659184e7becc1fba3f2"/>
    <x v="4"/>
    <n v="2"/>
    <n v="2"/>
    <n v="258.87"/>
    <n v="3"/>
    <n v="100"/>
  </r>
  <r>
    <s v="3dfd3dc96f7f8598eca74e9ac8a2fa31"/>
    <x v="0"/>
    <n v="6"/>
    <n v="6"/>
    <n v="258.7"/>
    <n v="4"/>
    <n v="83.3"/>
  </r>
  <r>
    <s v="8a8835a43bda99fd37310ad76c457510"/>
    <x v="0"/>
    <n v="2"/>
    <n v="3"/>
    <n v="258.54000000000002"/>
    <n v="4.33"/>
    <n v="100"/>
  </r>
  <r>
    <s v="81ed90f07c0bacb7594940ba2ef676aa"/>
    <x v="3"/>
    <n v="2"/>
    <n v="2"/>
    <n v="257.45999999999998"/>
    <n v="4.5"/>
    <n v="100"/>
  </r>
  <r>
    <s v="7f5e4d5efad7e44b91115dd1decb65f3"/>
    <x v="0"/>
    <n v="3"/>
    <n v="9"/>
    <n v="257.32"/>
    <n v="5"/>
    <n v="100"/>
  </r>
  <r>
    <s v="5a9c0859cb00fd8aa4db443837f0a700"/>
    <x v="6"/>
    <n v="2"/>
    <n v="2"/>
    <n v="255.59"/>
    <n v="4.5"/>
    <n v="100"/>
  </r>
  <r>
    <s v="e0a3c37054ade6478d923a6efc10f308"/>
    <x v="6"/>
    <n v="2"/>
    <n v="2"/>
    <n v="254.98"/>
    <n v="5"/>
    <n v="100"/>
  </r>
  <r>
    <s v="269c5fc9fcadee614364c3620c30a1f9"/>
    <x v="0"/>
    <n v="3"/>
    <n v="6"/>
    <n v="254.72"/>
    <n v="5"/>
    <n v="100"/>
  </r>
  <r>
    <s v="d1a5cc844736958c11b8efab9a2b4c87"/>
    <x v="4"/>
    <n v="1"/>
    <n v="1"/>
    <n v="254.01"/>
    <n v="1"/>
    <n v="0"/>
  </r>
  <r>
    <s v="6f1a1263039c76e68f40a8e536b1da6a"/>
    <x v="0"/>
    <n v="2"/>
    <n v="5"/>
    <n v="253.19"/>
    <n v="2.6"/>
    <n v="80"/>
  </r>
  <r>
    <s v="70c4eedec9cb4a85cda2f3f9673557b4"/>
    <x v="0"/>
    <n v="1"/>
    <n v="1"/>
    <n v="253.08"/>
    <n v="5"/>
    <n v="100"/>
  </r>
  <r>
    <s v="8d92f3ea807b89465643c219455e7369"/>
    <x v="0"/>
    <n v="3"/>
    <n v="8"/>
    <n v="252.77"/>
    <n v="1"/>
    <n v="12.5"/>
  </r>
  <r>
    <s v="1746c1ae87ac63d530c7c943d0ac42e2"/>
    <x v="0"/>
    <n v="1"/>
    <n v="1"/>
    <n v="252.35"/>
    <n v="5"/>
    <n v="100"/>
  </r>
  <r>
    <s v="3f84fefc07dc159b268d4a77d3e8c425"/>
    <x v="4"/>
    <n v="3"/>
    <n v="3"/>
    <n v="251.92"/>
    <n v="5"/>
    <n v="100"/>
  </r>
  <r>
    <s v="740205fedfe4e90ca6857bc77db0f2b4"/>
    <x v="0"/>
    <n v="1"/>
    <n v="1"/>
    <n v="251.83"/>
    <n v="5"/>
    <n v="100"/>
  </r>
  <r>
    <s v="ad8b531ae67582f096925cff5630d0d1"/>
    <x v="4"/>
    <n v="2"/>
    <n v="2"/>
    <n v="251.49"/>
    <n v="4"/>
    <n v="100"/>
  </r>
  <r>
    <s v="b05b432bf68945d4d9783f9e3ca29ee8"/>
    <x v="0"/>
    <n v="2"/>
    <n v="2"/>
    <n v="250.89"/>
    <n v="4.5"/>
    <n v="100"/>
  </r>
  <r>
    <s v="e59e575a175fadcadf8479e191770425"/>
    <x v="2"/>
    <n v="1"/>
    <n v="1"/>
    <n v="250.88"/>
    <n v="5"/>
    <n v="100"/>
  </r>
  <r>
    <s v="800214c63934acd05d47e84214db8ba8"/>
    <x v="6"/>
    <n v="3"/>
    <n v="3"/>
    <n v="250.41"/>
    <n v="5"/>
    <n v="100"/>
  </r>
  <r>
    <s v="fe8055980a4ff7f64ed889c2b5926929"/>
    <x v="4"/>
    <n v="3"/>
    <n v="3"/>
    <n v="249.98"/>
    <n v="4.67"/>
    <n v="100"/>
  </r>
  <r>
    <s v="72431a818f97fe6ab9c81eee3e297e54"/>
    <x v="0"/>
    <n v="1"/>
    <n v="1"/>
    <n v="249.39"/>
    <n v="5"/>
    <n v="100"/>
  </r>
  <r>
    <s v="a663d9c3797e90eac99ff60939416a56"/>
    <x v="0"/>
    <n v="1"/>
    <n v="1"/>
    <n v="249.08"/>
    <n v="5"/>
    <n v="100"/>
  </r>
  <r>
    <s v="bec568278124768c474ee90971ca94d1"/>
    <x v="0"/>
    <n v="2"/>
    <n v="2"/>
    <n v="249.06"/>
    <n v="4.5"/>
    <n v="100"/>
  </r>
  <r>
    <s v="a0a14e50070f3225b3eabba5b85da517"/>
    <x v="4"/>
    <n v="4"/>
    <n v="4"/>
    <n v="248.64"/>
    <n v="4.5"/>
    <n v="100"/>
  </r>
  <r>
    <s v="7d484ca289afaac6bf5fc6a1e96d2226"/>
    <x v="16"/>
    <n v="2"/>
    <n v="2"/>
    <n v="248.42"/>
    <n v="4"/>
    <n v="100"/>
  </r>
  <r>
    <s v="90b36c5aeb728d5504a39f435bef0c5f"/>
    <x v="0"/>
    <n v="4"/>
    <n v="4"/>
    <n v="247.89"/>
    <n v="5"/>
    <n v="100"/>
  </r>
  <r>
    <s v="50770d25768b0486d89be26afca3108f"/>
    <x v="0"/>
    <n v="6"/>
    <n v="6"/>
    <n v="247.86"/>
    <n v="4"/>
    <n v="83.3"/>
  </r>
  <r>
    <s v="809413606dbfe5deefd2db646693ef67"/>
    <x v="0"/>
    <n v="3"/>
    <n v="5"/>
    <n v="247.05"/>
    <n v="4.2"/>
    <n v="100"/>
  </r>
  <r>
    <s v="643c01d7c56a724bec0454f4780e8a3e"/>
    <x v="6"/>
    <n v="2"/>
    <n v="2"/>
    <n v="246.65"/>
    <n v="4.5"/>
    <n v="100"/>
  </r>
  <r>
    <s v="3442f8959a84dea7ee197c632cb2df15"/>
    <x v="0"/>
    <n v="3"/>
    <n v="3"/>
    <n v="246.6"/>
    <n v="3"/>
    <n v="66.7"/>
  </r>
  <r>
    <s v="bcc9dd23e2a8bd8267cf92b19304a1b9"/>
    <x v="0"/>
    <n v="3"/>
    <n v="3"/>
    <n v="246.22"/>
    <n v="2.33"/>
    <n v="33.299999999999997"/>
  </r>
  <r>
    <s v="edf3fabebcc20f7463cc9c53da932ea8"/>
    <x v="0"/>
    <n v="1"/>
    <n v="1"/>
    <n v="244.02"/>
    <n v="4"/>
    <n v="0"/>
  </r>
  <r>
    <s v="bff9deb0ec77d437f3305a79cf25529e"/>
    <x v="0"/>
    <n v="5"/>
    <n v="5"/>
    <n v="242.74"/>
    <n v="4"/>
    <n v="100"/>
  </r>
  <r>
    <s v="299c89a525fee36c567f4fe72f038100"/>
    <x v="14"/>
    <n v="1"/>
    <n v="1"/>
    <n v="242.67"/>
    <n v="3"/>
    <n v="100"/>
  </r>
  <r>
    <s v="778323240ce2830d68aab11794e00bfb"/>
    <x v="0"/>
    <n v="3"/>
    <n v="3"/>
    <n v="242.43"/>
    <n v="4.33"/>
    <n v="100"/>
  </r>
  <r>
    <s v="63b9ae557efed31d1f7687917d248a8d"/>
    <x v="0"/>
    <n v="5"/>
    <n v="7"/>
    <n v="242.31"/>
    <n v="4.43"/>
    <n v="100"/>
  </r>
  <r>
    <s v="2075d8cd4dd63ff12df0749a5866bb06"/>
    <x v="4"/>
    <n v="3"/>
    <n v="3"/>
    <n v="242.23"/>
    <n v="5"/>
    <n v="100"/>
  </r>
  <r>
    <s v="b01c2b7b8599b325103ebcddc67413e1"/>
    <x v="8"/>
    <n v="4"/>
    <n v="4"/>
    <n v="242.12"/>
    <n v="4.75"/>
    <n v="100"/>
  </r>
  <r>
    <s v="90b57083da5d803237da74daec6dcb2b"/>
    <x v="4"/>
    <n v="2"/>
    <n v="2"/>
    <n v="241.21"/>
    <n v="5"/>
    <n v="100"/>
  </r>
  <r>
    <s v="a218df5c097b0ca409cfaac1488cc7f6"/>
    <x v="0"/>
    <n v="4"/>
    <n v="4"/>
    <n v="240.7"/>
    <n v="2.75"/>
    <n v="100"/>
  </r>
  <r>
    <s v="eec3469d83e142f9a104886655338c37"/>
    <x v="0"/>
    <n v="4"/>
    <n v="4"/>
    <n v="240.44"/>
    <n v="4.5"/>
    <n v="100"/>
  </r>
  <r>
    <s v="034b9387752bfa309f350a70cd45ffa3"/>
    <x v="6"/>
    <n v="8"/>
    <n v="8"/>
    <n v="240.26"/>
    <n v="4.5"/>
    <n v="100"/>
  </r>
  <r>
    <s v="762ed976527cddf02787edba70fffa2a"/>
    <x v="4"/>
    <n v="3"/>
    <n v="4"/>
    <n v="240.12"/>
    <n v="2.25"/>
    <n v="100"/>
  </r>
  <r>
    <s v="0f7eea709efdf942b5f95c7516dbacd7"/>
    <x v="0"/>
    <n v="3"/>
    <n v="3"/>
    <n v="240.06"/>
    <n v="4"/>
    <n v="100"/>
  </r>
  <r>
    <s v="586a871d4f1221763fddb6ceefdeb95e"/>
    <x v="8"/>
    <n v="1"/>
    <n v="2"/>
    <n v="239.48"/>
    <n v="1"/>
    <n v="0"/>
  </r>
  <r>
    <s v="31e60bf8d103ce47932a85f5562deb16"/>
    <x v="12"/>
    <n v="1"/>
    <n v="1"/>
    <n v="239.04"/>
    <n v="5"/>
    <n v="100"/>
  </r>
  <r>
    <s v="7d948535954aaf8c5d39db007f74372e"/>
    <x v="0"/>
    <n v="4"/>
    <n v="4"/>
    <n v="237.8"/>
    <n v="3.75"/>
    <n v="100"/>
  </r>
  <r>
    <s v="b5f49fe968dff6b112861e6cd8e192ef"/>
    <x v="4"/>
    <n v="1"/>
    <n v="2"/>
    <n v="237.67"/>
    <n v="5"/>
    <n v="100"/>
  </r>
  <r>
    <s v="7ad41305e96a6cab8294cd65891e9a86"/>
    <x v="0"/>
    <n v="2"/>
    <n v="2"/>
    <n v="237.6"/>
    <n v="5"/>
    <n v="100"/>
  </r>
  <r>
    <s v="1de62b6f2fd96227629786db492433db"/>
    <x v="0"/>
    <n v="2"/>
    <n v="2"/>
    <n v="237.53"/>
    <n v="5"/>
    <n v="100"/>
  </r>
  <r>
    <s v="6ee85be3693ed79a8e80718743d80655"/>
    <x v="0"/>
    <n v="5"/>
    <n v="5"/>
    <n v="236.47"/>
    <n v="3.2"/>
    <n v="60"/>
  </r>
  <r>
    <s v="751e274377499a8503fd6243ad9c56f6"/>
    <x v="0"/>
    <n v="1"/>
    <n v="2"/>
    <n v="235.84"/>
    <n v="5"/>
    <n v="100"/>
  </r>
  <r>
    <s v="89d9a386b0b6e5fc8403071b03f7206a"/>
    <x v="0"/>
    <n v="2"/>
    <n v="5"/>
    <n v="235.25"/>
    <n v="3.4"/>
    <n v="100"/>
  </r>
  <r>
    <s v="3d700782d7818f2c1e0d7a9e9d75fc00"/>
    <x v="0"/>
    <n v="3"/>
    <n v="3"/>
    <n v="235.11"/>
    <n v="3.67"/>
    <n v="66.7"/>
  </r>
  <r>
    <s v="9da15f4a4ea758d9eeb49000dbe57e22"/>
    <x v="0"/>
    <n v="1"/>
    <n v="1"/>
    <n v="234.61"/>
    <n v="2"/>
    <n v="0"/>
  </r>
  <r>
    <s v="e0482f2c769468c3bbcd8a01e09d98c5"/>
    <x v="0"/>
    <n v="1"/>
    <n v="1"/>
    <n v="234.4"/>
    <n v="4"/>
    <n v="100"/>
  </r>
  <r>
    <s v="3d290fe363c60a77498c1126fd3fb8d3"/>
    <x v="0"/>
    <n v="3"/>
    <n v="3"/>
    <n v="234.04"/>
    <n v="4.33"/>
    <n v="100"/>
  </r>
  <r>
    <s v="a4b8d97cd5d3674eeff96abc99d8ed67"/>
    <x v="0"/>
    <n v="1"/>
    <n v="1"/>
    <n v="233.38"/>
    <n v="1"/>
    <n v="100"/>
  </r>
  <r>
    <s v="dd8a29ce82d5c705ba932d81494600a5"/>
    <x v="0"/>
    <n v="2"/>
    <n v="2"/>
    <n v="233.25"/>
    <n v="3.5"/>
    <n v="100"/>
  </r>
  <r>
    <s v="4f0d637c1197fd65405ebd755ac9f86b"/>
    <x v="0"/>
    <n v="2"/>
    <n v="2"/>
    <n v="232.47"/>
    <n v="5"/>
    <n v="100"/>
  </r>
  <r>
    <s v="ccada0ef508e698917a6eab263375905"/>
    <x v="4"/>
    <n v="3"/>
    <n v="3"/>
    <n v="231.96"/>
    <n v="3.67"/>
    <n v="100"/>
  </r>
  <r>
    <s v="e503f22be6a4f456d9851920a5d9c670"/>
    <x v="0"/>
    <n v="2"/>
    <n v="2"/>
    <n v="231.34"/>
    <n v="4"/>
    <n v="100"/>
  </r>
  <r>
    <s v="478bfe564db21eeb44386606aa30b650"/>
    <x v="3"/>
    <n v="3"/>
    <n v="3"/>
    <n v="230.8"/>
    <n v="4.67"/>
    <n v="100"/>
  </r>
  <r>
    <s v="fc6295add6f51a0936407ead70c1001d"/>
    <x v="0"/>
    <n v="1"/>
    <n v="4"/>
    <n v="230.52"/>
    <n v="1"/>
    <n v="100"/>
  </r>
  <r>
    <s v="d8dd176509baa37f359644d082bf7f7b"/>
    <x v="0"/>
    <n v="2"/>
    <n v="2"/>
    <n v="229.9"/>
    <n v="1.5"/>
    <n v="0"/>
  </r>
  <r>
    <s v="8def3db7f272735afb2ecd03aeca09a7"/>
    <x v="2"/>
    <n v="2"/>
    <n v="2"/>
    <n v="229.64"/>
    <n v="5"/>
    <n v="100"/>
  </r>
  <r>
    <s v="6f835fd4be26989b1b064399da346143"/>
    <x v="4"/>
    <n v="2"/>
    <n v="2"/>
    <n v="229.25"/>
    <n v="5"/>
    <n v="100"/>
  </r>
  <r>
    <s v="2cb4700db635baa1c0d4f90ed27b6669"/>
    <x v="4"/>
    <n v="2"/>
    <n v="2"/>
    <n v="228.72"/>
    <n v="2"/>
    <n v="100"/>
  </r>
  <r>
    <s v="3fe7120d6257285ac6a3ce7cb071ccec"/>
    <x v="3"/>
    <n v="2"/>
    <n v="2"/>
    <n v="228.26"/>
    <n v="3.5"/>
    <n v="100"/>
  </r>
  <r>
    <s v="2ea0861cc19e94cad86438c984c52da4"/>
    <x v="0"/>
    <n v="6"/>
    <n v="6"/>
    <n v="228.05"/>
    <n v="3.33"/>
    <n v="100"/>
  </r>
  <r>
    <s v="23ff42c4bf1f8f16cddb19d8b972974a"/>
    <x v="3"/>
    <n v="2"/>
    <n v="3"/>
    <n v="227.67"/>
    <n v="4.33"/>
    <n v="100"/>
  </r>
  <r>
    <s v="f35becee938e982bd615edf8ef12bcfb"/>
    <x v="0"/>
    <n v="6"/>
    <n v="6"/>
    <n v="226.81"/>
    <n v="4"/>
    <n v="100"/>
  </r>
  <r>
    <s v="1d1bbb8ac1581824986f582583fff01d"/>
    <x v="6"/>
    <n v="4"/>
    <n v="4"/>
    <n v="226.47"/>
    <n v="3.5"/>
    <n v="75"/>
  </r>
  <r>
    <s v="f356c348fbc8df6a882823e21f5ce8b7"/>
    <x v="8"/>
    <n v="2"/>
    <n v="2"/>
    <n v="225.65"/>
    <n v="2.5"/>
    <n v="100"/>
  </r>
  <r>
    <s v="939f6e231201f26803cb5c3a3d2940b3"/>
    <x v="0"/>
    <n v="3"/>
    <n v="4"/>
    <n v="225.62"/>
    <n v="4.75"/>
    <n v="100"/>
  </r>
  <r>
    <s v="f92d8c817434bd2d84d4e9c61322b7fa"/>
    <x v="0"/>
    <n v="5"/>
    <n v="5"/>
    <n v="225.61"/>
    <n v="4.5999999999999996"/>
    <n v="100"/>
  </r>
  <r>
    <s v="1cbdc7cf130a41fd13a3c2a7d2fcfda7"/>
    <x v="3"/>
    <n v="2"/>
    <n v="2"/>
    <n v="225.61"/>
    <n v="5"/>
    <n v="100"/>
  </r>
  <r>
    <s v="3fefda3299e6dfaea3466ef346a3571a"/>
    <x v="4"/>
    <n v="1"/>
    <n v="1"/>
    <n v="225.21"/>
    <n v="4"/>
    <n v="100"/>
  </r>
  <r>
    <s v="c747d5b92c7648417faea95d36d763e8"/>
    <x v="14"/>
    <n v="1"/>
    <n v="1"/>
    <n v="224.75"/>
    <n v="5"/>
    <n v="100"/>
  </r>
  <r>
    <s v="8ca5b19e0263150d2c57afdde2b3d011"/>
    <x v="0"/>
    <n v="3"/>
    <n v="4"/>
    <n v="224.68"/>
    <n v="4.75"/>
    <n v="100"/>
  </r>
  <r>
    <s v="651530bf5c607240ccdd89a30c9c9712"/>
    <x v="1"/>
    <n v="1"/>
    <n v="1"/>
    <n v="224.45"/>
    <n v="4"/>
    <n v="100"/>
  </r>
  <r>
    <s v="377bc18334c78dd2f1535ef22a3ad225"/>
    <x v="4"/>
    <n v="1"/>
    <n v="1"/>
    <n v="224.44"/>
    <n v="5"/>
    <n v="100"/>
  </r>
  <r>
    <s v="c5e60e39c0f42b8e827daa13cff74afa"/>
    <x v="0"/>
    <n v="6"/>
    <n v="8"/>
    <n v="223.1"/>
    <n v="4.13"/>
    <n v="100"/>
  </r>
  <r>
    <s v="9e7c5f4d7770eab65738cca38f9efccf"/>
    <x v="0"/>
    <n v="2"/>
    <n v="2"/>
    <n v="222.88"/>
    <n v="3.5"/>
    <n v="100"/>
  </r>
  <r>
    <s v="4d9fea3499bdc22aa4da4e339365f215"/>
    <x v="0"/>
    <n v="2"/>
    <n v="2"/>
    <n v="222.74"/>
    <n v="5"/>
    <n v="100"/>
  </r>
  <r>
    <s v="747c1cdcd1737dcfbd1547f6eb6f2cf3"/>
    <x v="0"/>
    <n v="2"/>
    <n v="2"/>
    <n v="222.37"/>
    <n v="2.5"/>
    <n v="100"/>
  </r>
  <r>
    <s v="52f6f9f13ba19504c02781132a049e75"/>
    <x v="4"/>
    <n v="1"/>
    <n v="1"/>
    <n v="222.13"/>
    <n v="2"/>
    <n v="100"/>
  </r>
  <r>
    <s v="e9874ae10b2d60d43917b6bbfa13a599"/>
    <x v="4"/>
    <n v="1"/>
    <n v="1"/>
    <n v="222.1"/>
    <n v="5"/>
    <n v="100"/>
  </r>
  <r>
    <s v="b7e1750c1157341d2abd0251e07c186b"/>
    <x v="0"/>
    <n v="3"/>
    <n v="4"/>
    <n v="220.56"/>
    <n v="4.5"/>
    <n v="100"/>
  </r>
  <r>
    <s v="717b78b0950b51ed00b1471d858b0edc"/>
    <x v="0"/>
    <n v="5"/>
    <n v="5"/>
    <n v="219.75"/>
    <n v="4"/>
    <n v="80"/>
  </r>
  <r>
    <s v="19e0f40a907ec568c34bfac15de4f4a1"/>
    <x v="0"/>
    <n v="4"/>
    <n v="4"/>
    <n v="219.62"/>
    <n v="5"/>
    <n v="100"/>
  </r>
  <r>
    <s v="5db42a6cd9bf1bf0d3aab9582767f168"/>
    <x v="9"/>
    <n v="1"/>
    <n v="1"/>
    <n v="219.33"/>
    <n v="5"/>
    <n v="100"/>
  </r>
  <r>
    <s v="dda37071807e404c5bb2a1590c66326f"/>
    <x v="0"/>
    <n v="1"/>
    <n v="1"/>
    <n v="219.27"/>
    <n v="5"/>
    <n v="100"/>
  </r>
  <r>
    <s v="3289d8c3eef4873f91ce0b1343c0dd58"/>
    <x v="0"/>
    <n v="1"/>
    <n v="1"/>
    <n v="219.27"/>
    <n v="5"/>
    <n v="100"/>
  </r>
  <r>
    <s v="9cea4682e16655f7da87f406902e989e"/>
    <x v="4"/>
    <n v="4"/>
    <n v="9"/>
    <n v="219.23"/>
    <n v="2.33"/>
    <n v="100"/>
  </r>
  <r>
    <s v="f19516b9ff26bfeb091b30108db4ddbd"/>
    <x v="0"/>
    <n v="3"/>
    <n v="3"/>
    <n v="219.22"/>
    <n v="3.67"/>
    <n v="100"/>
  </r>
  <r>
    <s v="f26d70155c2b6326fcfa1780c8c684e4"/>
    <x v="6"/>
    <n v="1"/>
    <n v="1"/>
    <n v="219.06"/>
    <n v="5"/>
    <n v="100"/>
  </r>
  <r>
    <s v="c360e4787614ed31ac7a2f95d3b22dc6"/>
    <x v="0"/>
    <n v="1"/>
    <n v="1"/>
    <n v="218.95"/>
    <n v="2"/>
    <n v="100"/>
  </r>
  <r>
    <s v="ca7c6bd577e559472af1c699de9e764e"/>
    <x v="0"/>
    <n v="6"/>
    <n v="8"/>
    <n v="218.82"/>
    <n v="4"/>
    <n v="100"/>
  </r>
  <r>
    <s v="538caafddff204241cecbf3a02e6b3cf"/>
    <x v="0"/>
    <n v="8"/>
    <n v="8"/>
    <n v="218.81"/>
    <n v="2.75"/>
    <n v="62.5"/>
  </r>
  <r>
    <s v="a3b0df0065e264a91b7bbf5f844af5cd"/>
    <x v="0"/>
    <n v="2"/>
    <n v="2"/>
    <n v="218.75"/>
    <n v="5"/>
    <n v="100"/>
  </r>
  <r>
    <s v="99a25c39b28a74d1151c35c18d178292"/>
    <x v="0"/>
    <n v="1"/>
    <n v="6"/>
    <n v="218.7"/>
    <n v="5"/>
    <n v="100"/>
  </r>
  <r>
    <s v="dbc51f5e45d654ecc16cb68e6817ecea"/>
    <x v="0"/>
    <n v="1"/>
    <n v="1"/>
    <n v="218.13"/>
    <n v="4"/>
    <n v="100"/>
  </r>
  <r>
    <s v="3a79f35a2344ede41af21267f61d5ec6"/>
    <x v="0"/>
    <n v="1"/>
    <n v="1"/>
    <n v="217.71"/>
    <n v="1"/>
    <n v="100"/>
  </r>
  <r>
    <s v="e1bed63d68ac36fe1f3061befe196af5"/>
    <x v="0"/>
    <n v="1"/>
    <n v="1"/>
    <n v="217"/>
    <n v="5"/>
    <n v="100"/>
  </r>
  <r>
    <s v="213fafb0ca06fb3d5886579c2565791b"/>
    <x v="3"/>
    <n v="3"/>
    <n v="3"/>
    <n v="216.86"/>
    <n v="2.33"/>
    <n v="100"/>
  </r>
  <r>
    <s v="f307937c1bb287c3efc2a514b94b0d1d"/>
    <x v="3"/>
    <n v="1"/>
    <n v="1"/>
    <n v="216.6"/>
    <n v="5"/>
    <n v="100"/>
  </r>
  <r>
    <s v="63272377184e969942f7fff221be858d"/>
    <x v="0"/>
    <n v="2"/>
    <n v="2"/>
    <n v="216.23"/>
    <n v="5"/>
    <n v="100"/>
  </r>
  <r>
    <s v="bdf0d02d36a1d839d0c39c4a887cdd49"/>
    <x v="0"/>
    <n v="5"/>
    <n v="7"/>
    <n v="215.95"/>
    <n v="5"/>
    <n v="100"/>
  </r>
  <r>
    <s v="55c96925041a14097b6a7825554f4ad5"/>
    <x v="0"/>
    <n v="5"/>
    <n v="6"/>
    <n v="215.89"/>
    <n v="4.67"/>
    <n v="83.3"/>
  </r>
  <r>
    <s v="039b29ff3b3473435d0cd59040575de9"/>
    <x v="0"/>
    <n v="9"/>
    <n v="9"/>
    <n v="215.55"/>
    <n v="4.4400000000000004"/>
    <n v="100"/>
  </r>
  <r>
    <s v="bd4ff04377f974574f7f0bf9d6ce7dde"/>
    <x v="0"/>
    <n v="4"/>
    <n v="4"/>
    <n v="215.1"/>
    <n v="3.5"/>
    <n v="75"/>
  </r>
  <r>
    <s v="c04d70d515d15a7e3db3a73320598566"/>
    <x v="2"/>
    <n v="3"/>
    <n v="4"/>
    <n v="214.82"/>
    <n v="5"/>
    <n v="100"/>
  </r>
  <r>
    <s v="4450bd8327d471c4a11a83d1445b1b62"/>
    <x v="0"/>
    <n v="1"/>
    <n v="1"/>
    <n v="214.56"/>
    <n v="5"/>
    <n v="100"/>
  </r>
  <r>
    <s v="1352e06ae67b410cdae0b2a22361167b"/>
    <x v="2"/>
    <n v="2"/>
    <n v="2"/>
    <n v="214.1"/>
    <n v="3"/>
    <n v="0"/>
  </r>
  <r>
    <s v="5659d77e8d90378e39b960ad5956f64e"/>
    <x v="0"/>
    <n v="2"/>
    <n v="2"/>
    <n v="213.13"/>
    <n v="2.5"/>
    <n v="50"/>
  </r>
  <r>
    <s v="78ba5933c21686d1c2f64669c8c459e7"/>
    <x v="0"/>
    <n v="2"/>
    <n v="2"/>
    <n v="212.57"/>
    <n v="4.25"/>
    <n v="100"/>
  </r>
  <r>
    <s v="c353f8fc0ce8344999f17d578eb69a5e"/>
    <x v="8"/>
    <n v="2"/>
    <n v="2"/>
    <n v="212.57"/>
    <n v="5"/>
    <n v="100"/>
  </r>
  <r>
    <s v="19484c79cef6c062cb177aa4ef2fcc3c"/>
    <x v="0"/>
    <n v="1"/>
    <n v="1"/>
    <n v="212.06"/>
    <n v="1"/>
    <n v="0"/>
  </r>
  <r>
    <s v="98dddbc4601dd4443ca174359b237166"/>
    <x v="4"/>
    <n v="2"/>
    <n v="2"/>
    <n v="211.67"/>
    <n v="5"/>
    <n v="100"/>
  </r>
  <r>
    <s v="fedf2c1386e137f296b3bbf3b635e69d"/>
    <x v="0"/>
    <n v="2"/>
    <n v="5"/>
    <n v="210.9"/>
    <n v="3.2"/>
    <n v="100"/>
  </r>
  <r>
    <s v="4a82c4af97ffc0fb2dc26bfdc03b1842"/>
    <x v="3"/>
    <n v="3"/>
    <n v="3"/>
    <n v="210.9"/>
    <n v="5"/>
    <n v="100"/>
  </r>
  <r>
    <s v="b906dd0e57f282c7089171b6ed07982e"/>
    <x v="4"/>
    <n v="2"/>
    <n v="2"/>
    <n v="210.75"/>
    <n v="4"/>
    <n v="100"/>
  </r>
  <r>
    <s v="45c20d94d9171b0bcfab3c955e47d67b"/>
    <x v="0"/>
    <n v="4"/>
    <n v="4"/>
    <n v="210.57"/>
    <n v="4.5"/>
    <n v="100"/>
  </r>
  <r>
    <s v="8e34331b7eedd03be4e5d965c1956225"/>
    <x v="0"/>
    <n v="5"/>
    <n v="5"/>
    <n v="210.44"/>
    <n v="4.8"/>
    <n v="80"/>
  </r>
  <r>
    <s v="22c32ec35d0116ef02c281798a25bf8b"/>
    <x v="4"/>
    <n v="4"/>
    <n v="6"/>
    <n v="210.01"/>
    <n v="3.5"/>
    <n v="100"/>
  </r>
  <r>
    <s v="6ba4733aa33f6386e9fb0c0fd3993b38"/>
    <x v="8"/>
    <n v="3"/>
    <n v="3"/>
    <n v="209.88"/>
    <n v="4.67"/>
    <n v="100"/>
  </r>
  <r>
    <s v="4bcec44888b30ba9001234c534716d3f"/>
    <x v="0"/>
    <n v="5"/>
    <n v="5"/>
    <n v="209.23"/>
    <n v="4.5999999999999996"/>
    <n v="100"/>
  </r>
  <r>
    <s v="cbbd5ae8f53de5f5097cd8217b529e24"/>
    <x v="0"/>
    <n v="1"/>
    <n v="1"/>
    <n v="208.16"/>
    <n v="4"/>
    <n v="100"/>
  </r>
  <r>
    <s v="7d7866a99a8656a42c7ff6352a433410"/>
    <x v="0"/>
    <n v="5"/>
    <n v="5"/>
    <n v="207.38"/>
    <n v="4.4000000000000004"/>
    <n v="100"/>
  </r>
  <r>
    <s v="b00af24704019bd2e1b335e70ad11f7c"/>
    <x v="1"/>
    <n v="1"/>
    <n v="1"/>
    <n v="207.25"/>
    <n v="5"/>
    <n v="100"/>
  </r>
  <r>
    <s v="119c7f1a00ef43fad0e57604e76a747c"/>
    <x v="0"/>
    <n v="2"/>
    <n v="2"/>
    <n v="206.82"/>
    <n v="4.5"/>
    <n v="100"/>
  </r>
  <r>
    <s v="0b64bcdb0784abc139af04077d49a20e"/>
    <x v="8"/>
    <n v="4"/>
    <n v="4"/>
    <n v="205.81"/>
    <n v="4.75"/>
    <n v="100"/>
  </r>
  <r>
    <s v="0692610d8abe24f287e9fae90ea0bbee"/>
    <x v="0"/>
    <n v="4"/>
    <n v="4"/>
    <n v="205.72"/>
    <n v="4"/>
    <n v="75"/>
  </r>
  <r>
    <s v="d9c349beabc06aa6ff1c6d68b5e9e22e"/>
    <x v="0"/>
    <n v="1"/>
    <n v="1"/>
    <n v="205.65"/>
    <n v="5"/>
    <n v="100"/>
  </r>
  <r>
    <s v="43a1d4bab73b816e44ef4e4facd9f9b5"/>
    <x v="4"/>
    <n v="1"/>
    <n v="1"/>
    <n v="205.4"/>
    <n v="4"/>
    <n v="100"/>
  </r>
  <r>
    <s v="902c99f1ac505c0d18778b61bcd636f7"/>
    <x v="0"/>
    <n v="3"/>
    <n v="3"/>
    <n v="205.29"/>
    <n v="5"/>
    <n v="100"/>
  </r>
  <r>
    <s v="bd0a1b0aadca9a83d9304f7e8ff5fbd5"/>
    <x v="0"/>
    <n v="4"/>
    <n v="4"/>
    <n v="205.19"/>
    <n v="4.5"/>
    <n v="100"/>
  </r>
  <r>
    <s v="7adbd3210a7b3cc2235e225eef33574d"/>
    <x v="0"/>
    <n v="3"/>
    <n v="3"/>
    <n v="204.86"/>
    <n v="4.67"/>
    <n v="100"/>
  </r>
  <r>
    <s v="7cf4ea70955b00d6b3c22542598e2715"/>
    <x v="0"/>
    <n v="1"/>
    <n v="1"/>
    <n v="204.81"/>
    <n v="5"/>
    <n v="100"/>
  </r>
  <r>
    <s v="2235cf78d3e2073a88146a9cb60f0dd0"/>
    <x v="0"/>
    <n v="1"/>
    <n v="1"/>
    <n v="204.76"/>
    <n v="5"/>
    <n v="100"/>
  </r>
  <r>
    <s v="964ff64dc05b13811c6d0f41e0aa5f6b"/>
    <x v="0"/>
    <n v="1"/>
    <n v="1"/>
    <n v="204.06"/>
    <n v="5"/>
    <n v="100"/>
  </r>
  <r>
    <s v="698f5fa55a5f73d0740e9d9a773e8093"/>
    <x v="2"/>
    <n v="4"/>
    <n v="6"/>
    <n v="203.99"/>
    <n v="4.83"/>
    <n v="100"/>
  </r>
  <r>
    <s v="5a9b3bcab695173c820e53934574ae80"/>
    <x v="0"/>
    <n v="1"/>
    <n v="1"/>
    <n v="203.77"/>
    <n v="5"/>
    <n v="100"/>
  </r>
  <r>
    <s v="aae5953b9edddf14749c0d65d60eb4b9"/>
    <x v="3"/>
    <n v="2"/>
    <n v="2"/>
    <n v="202.9"/>
    <n v="5"/>
    <n v="100"/>
  </r>
  <r>
    <s v="686886775c8f6b1191c7b953fb52708c"/>
    <x v="0"/>
    <n v="1"/>
    <n v="1"/>
    <n v="202.62"/>
    <n v="5"/>
    <n v="100"/>
  </r>
  <r>
    <s v="bb3dca718920a4d7ec3cc9ffb025108b"/>
    <x v="0"/>
    <n v="2"/>
    <n v="3"/>
    <n v="201.7"/>
    <n v="2.33"/>
    <n v="100"/>
  </r>
  <r>
    <s v="d3e7d37c0df9aef383f3f2a15b0dddfb"/>
    <x v="4"/>
    <n v="1"/>
    <n v="1"/>
    <n v="201.34"/>
    <n v="5"/>
    <n v="100"/>
  </r>
  <r>
    <s v="0ade5cc4a305ed7093a23f68ca47519c"/>
    <x v="4"/>
    <n v="2"/>
    <n v="2"/>
    <n v="201.27"/>
    <n v="5"/>
    <n v="100"/>
  </r>
  <r>
    <s v="5def4c3732941a971cba8fdee992ede1"/>
    <x v="0"/>
    <n v="5"/>
    <n v="6"/>
    <n v="201.04"/>
    <n v="4.5"/>
    <n v="100"/>
  </r>
  <r>
    <s v="78813699ffac347fe27dba345a5f1551"/>
    <x v="8"/>
    <n v="1"/>
    <n v="1"/>
    <n v="200.54"/>
    <n v="5"/>
    <n v="100"/>
  </r>
  <r>
    <s v="51a04a8a6bdcb23deccc82b0b80742cf"/>
    <x v="0"/>
    <n v="1"/>
    <n v="1"/>
    <n v="199.92"/>
    <n v="1"/>
    <n v="0"/>
  </r>
  <r>
    <s v="4dc2e811a1760953cb7c6a590b498943"/>
    <x v="0"/>
    <n v="1"/>
    <n v="1"/>
    <n v="199.84"/>
    <n v="5"/>
    <n v="100"/>
  </r>
  <r>
    <s v="c7c7b2682c648339a0e9846bb1023a39"/>
    <x v="0"/>
    <n v="2"/>
    <n v="3"/>
    <n v="199.68"/>
    <n v="4.67"/>
    <n v="100"/>
  </r>
  <r>
    <s v="88cd3681e0a2ba85e190f7d817629c4c"/>
    <x v="6"/>
    <n v="1"/>
    <n v="1"/>
    <n v="199.36"/>
    <n v="4"/>
    <n v="100"/>
  </r>
  <r>
    <s v="e1643dff33666ca629e3644c02738179"/>
    <x v="0"/>
    <n v="3"/>
    <n v="3"/>
    <n v="199.31"/>
    <n v="4.33"/>
    <n v="100"/>
  </r>
  <r>
    <s v="9dd459b29a14bf89d47183cf2cd0e4c7"/>
    <x v="0"/>
    <n v="2"/>
    <n v="2"/>
    <n v="198.82"/>
    <n v="5"/>
    <n v="50"/>
  </r>
  <r>
    <s v="b9de031b671cd48b28fae9d828cbf2b4"/>
    <x v="0"/>
    <n v="1"/>
    <n v="1"/>
    <n v="198.69"/>
    <n v="5"/>
    <n v="100"/>
  </r>
  <r>
    <s v="880ce4951cf857ab1d9e0b75c1d856f4"/>
    <x v="3"/>
    <n v="1"/>
    <n v="1"/>
    <n v="197.72"/>
    <n v="5"/>
    <n v="100"/>
  </r>
  <r>
    <s v="57df9869a600bd6b7c405f2a862eccfb"/>
    <x v="3"/>
    <n v="5"/>
    <n v="5"/>
    <n v="197.21"/>
    <n v="4.4000000000000004"/>
    <n v="100"/>
  </r>
  <r>
    <s v="52a50b42accf164f9f019941e5759d9b"/>
    <x v="0"/>
    <n v="4"/>
    <n v="4"/>
    <n v="197.02"/>
    <n v="4.75"/>
    <n v="100"/>
  </r>
  <r>
    <s v="d2df77822373f19934e87694d8640767"/>
    <x v="4"/>
    <n v="2"/>
    <n v="2"/>
    <n v="196.4"/>
    <n v="3"/>
    <n v="100"/>
  </r>
  <r>
    <s v="3606774ec64634822d78dc2db6d37045"/>
    <x v="0"/>
    <n v="1"/>
    <n v="1"/>
    <n v="196.27"/>
    <n v="5"/>
    <n v="100"/>
  </r>
  <r>
    <s v="94165aea8a35c3c21499cbcae239b16c"/>
    <x v="3"/>
    <n v="1"/>
    <n v="1"/>
    <n v="196.11"/>
    <n v="2"/>
    <n v="100"/>
  </r>
  <r>
    <s v="9c57bc60cfad5ee62d35d3f1ce4593a1"/>
    <x v="4"/>
    <n v="1"/>
    <n v="1"/>
    <n v="195.43"/>
    <n v="1"/>
    <n v="0"/>
  </r>
  <r>
    <s v="fa5fdc4e4bb6bd1009ad0e4ac4096562"/>
    <x v="0"/>
    <n v="1"/>
    <n v="1"/>
    <n v="194.85"/>
    <n v="5"/>
    <n v="100"/>
  </r>
  <r>
    <s v="6a53b90c3ad9e0b56d9fe5c69165fff5"/>
    <x v="4"/>
    <n v="2"/>
    <n v="4"/>
    <n v="194.78"/>
    <n v="3.5"/>
    <n v="100"/>
  </r>
  <r>
    <s v="56f413900b5166ab4d730e9ac0b12cb0"/>
    <x v="0"/>
    <n v="3"/>
    <n v="3"/>
    <n v="194.24"/>
    <n v="4.67"/>
    <n v="100"/>
  </r>
  <r>
    <s v="7c9130f5f3729edd32aa059141d92484"/>
    <x v="0"/>
    <n v="3"/>
    <n v="4"/>
    <n v="193.15"/>
    <n v="3.75"/>
    <n v="100"/>
  </r>
  <r>
    <s v="3ea08c48e851106d2f584349daba335f"/>
    <x v="3"/>
    <n v="1"/>
    <n v="1"/>
    <n v="192.94"/>
    <n v="4"/>
    <n v="100"/>
  </r>
  <r>
    <s v="533d46c1b06970e99f09523a61df4972"/>
    <x v="0"/>
    <n v="2"/>
    <n v="2"/>
    <n v="192.62"/>
    <n v="4.5"/>
    <n v="100"/>
  </r>
  <r>
    <s v="4bde6149c15cf7e177b36fa060dd6de8"/>
    <x v="8"/>
    <n v="2"/>
    <n v="2"/>
    <n v="192.46"/>
    <n v="5"/>
    <n v="100"/>
  </r>
  <r>
    <s v="ea846a0e7ad98a741783e886d89dfa44"/>
    <x v="0"/>
    <n v="2"/>
    <n v="3"/>
    <n v="192.26"/>
    <n v="5"/>
    <n v="100"/>
  </r>
  <r>
    <s v="0e72c1a751b496722a6cb1f10653b62a"/>
    <x v="0"/>
    <n v="3"/>
    <n v="3"/>
    <n v="192.1"/>
    <n v="4.67"/>
    <n v="100"/>
  </r>
  <r>
    <s v="2a7c6c0b0d5efde2bf75ec1e1cec2d41"/>
    <x v="4"/>
    <n v="3"/>
    <n v="3"/>
    <n v="192.04"/>
    <n v="3.33"/>
    <n v="100"/>
  </r>
  <r>
    <s v="657969cca82e884d272385ec0ef06edd"/>
    <x v="8"/>
    <n v="3"/>
    <n v="3"/>
    <n v="191.56"/>
    <n v="4.67"/>
    <n v="100"/>
  </r>
  <r>
    <s v="6902157ee16728322d61a1321fa79e58"/>
    <x v="0"/>
    <n v="2"/>
    <n v="2"/>
    <n v="191.43"/>
    <n v="3"/>
    <n v="100"/>
  </r>
  <r>
    <s v="044668ccd5316b12a7cf0d54a156e3e9"/>
    <x v="0"/>
    <n v="3"/>
    <n v="4"/>
    <n v="191.35"/>
    <n v="5"/>
    <n v="100"/>
  </r>
  <r>
    <s v="a9b533a26e898b12e8b8d4c07279bf4d"/>
    <x v="2"/>
    <n v="4"/>
    <n v="4"/>
    <n v="191.06"/>
    <n v="5"/>
    <n v="100"/>
  </r>
  <r>
    <s v="dd9661d3cda1e6feb237f0c4d8b26f2e"/>
    <x v="6"/>
    <n v="1"/>
    <n v="1"/>
    <n v="190.98"/>
    <n v="5"/>
    <n v="100"/>
  </r>
  <r>
    <s v="a154d7316f158bb42e6fa18bbe3afd3a"/>
    <x v="0"/>
    <n v="2"/>
    <n v="2"/>
    <n v="190.13"/>
    <n v="3"/>
    <n v="50"/>
  </r>
  <r>
    <s v="26e13b6ff5b641b329e5524241ee2c93"/>
    <x v="0"/>
    <n v="4"/>
    <n v="4"/>
    <n v="189.68"/>
    <n v="4"/>
    <n v="100"/>
  </r>
  <r>
    <s v="7fe21dd00d2f4943ae09525efa2fd674"/>
    <x v="2"/>
    <n v="2"/>
    <n v="2"/>
    <n v="189.01"/>
    <n v="5"/>
    <n v="100"/>
  </r>
  <r>
    <s v="8fbe2ee446b97e128471be4ce983dc0d"/>
    <x v="0"/>
    <n v="3"/>
    <n v="3"/>
    <n v="188.5"/>
    <n v="3"/>
    <n v="66.7"/>
  </r>
  <r>
    <s v="05ca864204d09595ae591b93ea9cf93d"/>
    <x v="0"/>
    <n v="1"/>
    <n v="1"/>
    <n v="188.42"/>
    <n v="5"/>
    <n v="100"/>
  </r>
  <r>
    <s v="5566627eab3fe93fd6ee08798226101a"/>
    <x v="4"/>
    <n v="5"/>
    <n v="5"/>
    <n v="187.81"/>
    <n v="4.4000000000000004"/>
    <n v="100"/>
  </r>
  <r>
    <s v="98e164d549402270247f3c96a1a158ef"/>
    <x v="0"/>
    <n v="2"/>
    <n v="2"/>
    <n v="187.42"/>
    <n v="2.5"/>
    <n v="100"/>
  </r>
  <r>
    <s v="578fa3a9cb6b6dceab39231ad59cdaca"/>
    <x v="14"/>
    <n v="3"/>
    <n v="3"/>
    <n v="187.2"/>
    <n v="3.67"/>
    <n v="66.7"/>
  </r>
  <r>
    <s v="ef728fa1f17436c91ed1ccd03dcf9631"/>
    <x v="0"/>
    <n v="3"/>
    <n v="4"/>
    <n v="186.82"/>
    <n v="4"/>
    <n v="100"/>
  </r>
  <r>
    <s v="c8143b3069f6746a77421b5ce30a450c"/>
    <x v="12"/>
    <n v="1"/>
    <n v="1"/>
    <n v="185.88"/>
    <n v="5"/>
    <n v="100"/>
  </r>
  <r>
    <s v="83c8aafbefb034674a70de0eac5b8954"/>
    <x v="4"/>
    <n v="2"/>
    <n v="2"/>
    <n v="185.87"/>
    <n v="5"/>
    <n v="100"/>
  </r>
  <r>
    <s v="44ed138eca6214d572ce1d813fb0049b"/>
    <x v="8"/>
    <n v="2"/>
    <n v="3"/>
    <n v="185.8"/>
    <n v="4.67"/>
    <n v="100"/>
  </r>
  <r>
    <s v="7178e1eaa97257d8b6d4b80efd77a025"/>
    <x v="0"/>
    <n v="1"/>
    <n v="1"/>
    <n v="184.71"/>
    <n v="5"/>
    <n v="100"/>
  </r>
  <r>
    <s v="2ec6e37d992a95eaddb3369dcbcc76d9"/>
    <x v="8"/>
    <n v="2"/>
    <n v="2"/>
    <n v="183.94"/>
    <n v="1.5"/>
    <n v="100"/>
  </r>
  <r>
    <s v="5bc237df65098fe211bb4818f4d26d78"/>
    <x v="3"/>
    <n v="2"/>
    <n v="2"/>
    <n v="183.89"/>
    <n v="4.5"/>
    <n v="100"/>
  </r>
  <r>
    <s v="0daf5180aa44356f60f8effa533b55a2"/>
    <x v="12"/>
    <n v="2"/>
    <n v="2"/>
    <n v="183.63"/>
    <n v="5"/>
    <n v="100"/>
  </r>
  <r>
    <s v="ff82e8873fba613f2261a9acc896fd84"/>
    <x v="3"/>
    <n v="4"/>
    <n v="4"/>
    <n v="183.53"/>
    <n v="3.5"/>
    <n v="100"/>
  </r>
  <r>
    <s v="695051e2981c8b19e77cafe450d5bdf3"/>
    <x v="0"/>
    <n v="1"/>
    <n v="1"/>
    <n v="182.45"/>
    <n v="5"/>
    <n v="100"/>
  </r>
  <r>
    <s v="8e4f041ff58e7845456d3482524014b3"/>
    <x v="8"/>
    <n v="2"/>
    <n v="2"/>
    <n v="182.39"/>
    <n v="3"/>
    <n v="50"/>
  </r>
  <r>
    <s v="aa2640d851ec322526f1295bbeb20092"/>
    <x v="0"/>
    <n v="1"/>
    <n v="2"/>
    <n v="182.34"/>
    <n v="3"/>
    <n v="100"/>
  </r>
  <r>
    <s v="08061dc0fc165ed41288cc7acde738ee"/>
    <x v="0"/>
    <n v="4"/>
    <n v="4"/>
    <n v="182.22"/>
    <n v="4.5"/>
    <n v="75"/>
  </r>
  <r>
    <s v="e3e290b38963293022cdcd6db8328103"/>
    <x v="0"/>
    <n v="3"/>
    <n v="3"/>
    <n v="182.04"/>
    <n v="3.33"/>
    <n v="100"/>
  </r>
  <r>
    <s v="6601ee6383e7f452be71929f8de48bbb"/>
    <x v="0"/>
    <n v="2"/>
    <n v="2"/>
    <n v="181.94"/>
    <n v="4"/>
    <n v="100"/>
  </r>
  <r>
    <s v="99cd94252748d2bdde08e17858233602"/>
    <x v="0"/>
    <n v="2"/>
    <n v="2"/>
    <n v="181.32"/>
    <n v="4.5"/>
    <n v="100"/>
  </r>
  <r>
    <s v="f1ce5fdecd64935c28b9ff932751d0dc"/>
    <x v="0"/>
    <n v="2"/>
    <n v="2"/>
    <n v="180.53"/>
    <n v="4.5"/>
    <n v="100"/>
  </r>
  <r>
    <s v="913fd0ebba70bb919f7254a02239173c"/>
    <x v="6"/>
    <n v="1"/>
    <n v="1"/>
    <n v="179.12"/>
    <n v="1"/>
    <n v="100"/>
  </r>
  <r>
    <s v="1927cdb9fa74f5270097f6250e8e8f34"/>
    <x v="0"/>
    <n v="1"/>
    <n v="1"/>
    <n v="178.92"/>
    <n v="5"/>
    <n v="100"/>
  </r>
  <r>
    <s v="5ca5d579b5857ee8709479b1047cecc3"/>
    <x v="0"/>
    <n v="1"/>
    <n v="1"/>
    <n v="178.04"/>
    <n v="1"/>
    <n v="0"/>
  </r>
  <r>
    <s v="fc38b5dceee1a730fad8853453437fbd"/>
    <x v="0"/>
    <n v="5"/>
    <n v="5"/>
    <n v="178.01"/>
    <n v="4.5999999999999996"/>
    <n v="100"/>
  </r>
  <r>
    <s v="f266295f49a28eee21f413e0cbb0521d"/>
    <x v="4"/>
    <n v="2"/>
    <n v="2"/>
    <n v="177.94"/>
    <n v="4.5"/>
    <n v="100"/>
  </r>
  <r>
    <s v="d26aa40b90272d4843d63be7c1462c8d"/>
    <x v="0"/>
    <n v="2"/>
    <n v="2"/>
    <n v="177.42"/>
    <n v="4.5"/>
    <n v="100"/>
  </r>
  <r>
    <s v="077c5fae4bea9500e3737b16f71b9d3a"/>
    <x v="0"/>
    <n v="4"/>
    <n v="6"/>
    <n v="177.24"/>
    <n v="4.67"/>
    <n v="100"/>
  </r>
  <r>
    <s v="96f7c797de9ca20efbe14545bed63eec"/>
    <x v="0"/>
    <n v="1"/>
    <n v="3"/>
    <n v="176.97"/>
    <n v="1"/>
    <n v="100"/>
  </r>
  <r>
    <s v="76d336555bb25f3165d2f0d6da719c40"/>
    <x v="0"/>
    <n v="1"/>
    <n v="1"/>
    <n v="176.76"/>
    <n v="3"/>
    <n v="100"/>
  </r>
  <r>
    <s v="89757206b887aed36f3e18d858460fea"/>
    <x v="0"/>
    <n v="2"/>
    <n v="2"/>
    <n v="176.14"/>
    <n v="5"/>
    <n v="100"/>
  </r>
  <r>
    <s v="553a440137d6e0cf776aee0bb83ac9f5"/>
    <x v="0"/>
    <n v="2"/>
    <n v="2"/>
    <n v="175.14"/>
    <n v="1"/>
    <n v="50"/>
  </r>
  <r>
    <s v="dde698c6d0bd24834c586e5111c2bba7"/>
    <x v="2"/>
    <n v="1"/>
    <n v="1"/>
    <n v="175.09"/>
    <n v="5"/>
    <n v="100"/>
  </r>
  <r>
    <s v="9bade61a92bed55a25d2b67b9f4ed739"/>
    <x v="4"/>
    <n v="2"/>
    <n v="3"/>
    <n v="174.8"/>
    <n v="2.33"/>
    <n v="100"/>
  </r>
  <r>
    <s v="fa8d335d68129e464e60c1826a683e96"/>
    <x v="8"/>
    <n v="1"/>
    <n v="1"/>
    <n v="174.68"/>
    <n v="4"/>
    <n v="100"/>
  </r>
  <r>
    <s v="e9c2dc0dd4ac38448289be644ac94f42"/>
    <x v="6"/>
    <n v="3"/>
    <n v="3"/>
    <n v="174.61"/>
    <n v="5"/>
    <n v="100"/>
  </r>
  <r>
    <s v="818d28f936e791926d33bcb6ee94ef79"/>
    <x v="0"/>
    <n v="4"/>
    <n v="4"/>
    <n v="174.28"/>
    <n v="4"/>
    <n v="100"/>
  </r>
  <r>
    <s v="ce3ad9de960102d0677a81f5d0bb7b2d"/>
    <x v="2"/>
    <n v="1"/>
    <n v="1"/>
    <n v="174.21"/>
    <n v="5"/>
    <n v="100"/>
  </r>
  <r>
    <s v="2039c5e51785b5dde7cf93ccb3b7be2c"/>
    <x v="0"/>
    <n v="1"/>
    <n v="1"/>
    <n v="173.68"/>
    <n v="5"/>
    <n v="100"/>
  </r>
  <r>
    <s v="4dab98ca6cd6d3df586203cefd28a042"/>
    <x v="8"/>
    <n v="1"/>
    <n v="1"/>
    <n v="173.23"/>
    <n v="5"/>
    <n v="100"/>
  </r>
  <r>
    <s v="fc0b214b59a83615fea981c6424a02ae"/>
    <x v="0"/>
    <n v="1"/>
    <n v="1"/>
    <n v="172.04"/>
    <n v="5"/>
    <n v="100"/>
  </r>
  <r>
    <s v="fc908879b9ca1bd65419e54e50432d38"/>
    <x v="0"/>
    <n v="4"/>
    <n v="4"/>
    <n v="171.88"/>
    <n v="5"/>
    <n v="100"/>
  </r>
  <r>
    <s v="2f9b7ce230a057a98a9f5df5893ee36c"/>
    <x v="0"/>
    <n v="2"/>
    <n v="2"/>
    <n v="171.85"/>
    <n v="4.5"/>
    <n v="100"/>
  </r>
  <r>
    <s v="0b3f27369a4d8df98f7eb91077e438ac"/>
    <x v="0"/>
    <n v="2"/>
    <n v="2"/>
    <n v="171.39"/>
    <n v="4"/>
    <n v="100"/>
  </r>
  <r>
    <s v="3903c788ded8dc03b5ebab37a2f3e9a1"/>
    <x v="0"/>
    <n v="5"/>
    <n v="5"/>
    <n v="171.25"/>
    <n v="4"/>
    <n v="80"/>
  </r>
  <r>
    <s v="f049a72cf58fd31b11f8919cade515e7"/>
    <x v="0"/>
    <n v="3"/>
    <n v="4"/>
    <n v="170.99"/>
    <n v="3.5"/>
    <n v="100"/>
  </r>
  <r>
    <s v="44717f64ec2a457979cf83c429077666"/>
    <x v="8"/>
    <n v="2"/>
    <n v="3"/>
    <n v="170.91"/>
    <n v="5"/>
    <n v="100"/>
  </r>
  <r>
    <s v="e4fc40017a6d22c46a14ac2e17f87c3e"/>
    <x v="4"/>
    <n v="1"/>
    <n v="1"/>
    <n v="170.29"/>
    <n v="5"/>
    <n v="100"/>
  </r>
  <r>
    <s v="3442033154be05bac582e173ef54fd12"/>
    <x v="0"/>
    <n v="1"/>
    <n v="1"/>
    <n v="169.39"/>
    <n v="5"/>
    <n v="100"/>
  </r>
  <r>
    <s v="4867209cb29b56b92893d7bde3ce8012"/>
    <x v="0"/>
    <n v="1"/>
    <n v="1"/>
    <n v="169.15"/>
    <n v="4"/>
    <n v="100"/>
  </r>
  <r>
    <s v="d8b8f2cf9ff6ba0389072541cb42498c"/>
    <x v="12"/>
    <n v="1"/>
    <n v="1"/>
    <n v="169.01"/>
    <n v="5"/>
    <n v="100"/>
  </r>
  <r>
    <s v="f3041c2e75ec683697a6a5ea82192210"/>
    <x v="3"/>
    <n v="1"/>
    <n v="1"/>
    <n v="169"/>
    <n v="5"/>
    <n v="100"/>
  </r>
  <r>
    <s v="2d34636518ba88f5349b732fcf8ba2e4"/>
    <x v="0"/>
    <n v="1"/>
    <n v="1"/>
    <n v="168.63"/>
    <n v="5"/>
    <n v="100"/>
  </r>
  <r>
    <s v="0b09101900100c0e9d312861fad5a1b9"/>
    <x v="0"/>
    <n v="1"/>
    <n v="1"/>
    <n v="168.36"/>
    <n v="4"/>
    <n v="100"/>
  </r>
  <r>
    <s v="9523fb39dd240aa958e040f8183d64f3"/>
    <x v="0"/>
    <n v="1"/>
    <n v="1"/>
    <n v="168.29"/>
    <n v="1"/>
    <n v="100"/>
  </r>
  <r>
    <s v="bca9230d3bbb4efa51872bf605a2f1ad"/>
    <x v="0"/>
    <n v="5"/>
    <n v="5"/>
    <n v="168.2"/>
    <n v="4"/>
    <n v="80"/>
  </r>
  <r>
    <s v="50a7e551a7b3f8d37cd6e32d8bfbe5ea"/>
    <x v="0"/>
    <n v="1"/>
    <n v="1"/>
    <n v="167.96"/>
    <n v="5"/>
    <n v="100"/>
  </r>
  <r>
    <s v="3dc69bf2c42f0568a5c4791ec3fd3745"/>
    <x v="0"/>
    <n v="1"/>
    <n v="1"/>
    <n v="167.62"/>
    <n v="3"/>
    <n v="100"/>
  </r>
  <r>
    <s v="d3891911c2feae53c52fea2bd14054e5"/>
    <x v="0"/>
    <n v="2"/>
    <n v="2"/>
    <n v="166.99"/>
    <n v="5"/>
    <n v="100"/>
  </r>
  <r>
    <s v="1e47d8b6546eb3a77b1acddcc9406242"/>
    <x v="0"/>
    <n v="1"/>
    <n v="1"/>
    <n v="166.71"/>
    <n v="1"/>
    <n v="100"/>
  </r>
  <r>
    <s v="941554c5757b73ba0e50aa7732310afc"/>
    <x v="0"/>
    <n v="3"/>
    <n v="4"/>
    <n v="166.35"/>
    <n v="4.5"/>
    <n v="100"/>
  </r>
  <r>
    <s v="57a834594e1e9e9219603bfec184eadc"/>
    <x v="8"/>
    <n v="1"/>
    <n v="1"/>
    <n v="166.05"/>
    <n v="5"/>
    <n v="100"/>
  </r>
  <r>
    <s v="7c4adcc13272c0e26fa23aac642adb7b"/>
    <x v="2"/>
    <n v="2"/>
    <n v="2"/>
    <n v="165.63"/>
    <n v="3"/>
    <n v="50"/>
  </r>
  <r>
    <s v="c398bc00a606d33758afd91f4e64fd15"/>
    <x v="2"/>
    <n v="2"/>
    <n v="2"/>
    <n v="165.5"/>
    <n v="4.5"/>
    <n v="100"/>
  </r>
  <r>
    <s v="49f8d2ea7b718d0ce587d34207caf2b4"/>
    <x v="0"/>
    <n v="1"/>
    <n v="1"/>
    <n v="165.26"/>
    <n v="5"/>
    <n v="100"/>
  </r>
  <r>
    <s v="c7bb64409aa480bb7d0335faaaf3d242"/>
    <x v="6"/>
    <n v="4"/>
    <n v="4"/>
    <n v="165.16"/>
    <n v="2.25"/>
    <n v="100"/>
  </r>
  <r>
    <s v="dd39ad39b5d3df33037e141c72497ba6"/>
    <x v="0"/>
    <n v="2"/>
    <n v="2"/>
    <n v="164.85"/>
    <n v="5"/>
    <n v="100"/>
  </r>
  <r>
    <s v="9fe7c6641c79970ab48185498f547c09"/>
    <x v="0"/>
    <n v="1"/>
    <n v="1"/>
    <n v="164.71"/>
    <n v="5"/>
    <n v="100"/>
  </r>
  <r>
    <s v="4ddeb3e828550cddc8d45c8bc36ab2d1"/>
    <x v="0"/>
    <n v="1"/>
    <n v="1"/>
    <n v="164.45"/>
    <n v="5"/>
    <n v="100"/>
  </r>
  <r>
    <s v="fd312b6bf05efac6c3772d5b52205d8a"/>
    <x v="0"/>
    <n v="2"/>
    <n v="4"/>
    <n v="164.32"/>
    <n v="5"/>
    <n v="100"/>
  </r>
  <r>
    <s v="1b0b0f4f95e962d6f32fe90c759d0479"/>
    <x v="0"/>
    <n v="2"/>
    <n v="2"/>
    <n v="163.16999999999999"/>
    <n v="5"/>
    <n v="100"/>
  </r>
  <r>
    <s v="59bbc819b99a733f02f0d6b49d1c253d"/>
    <x v="0"/>
    <n v="2"/>
    <n v="2"/>
    <n v="162.75"/>
    <n v="5"/>
    <n v="100"/>
  </r>
  <r>
    <s v="b7ba853e9551f4558440881fd3e5c815"/>
    <x v="8"/>
    <n v="1"/>
    <n v="1"/>
    <n v="162.6"/>
    <n v="1"/>
    <n v="100"/>
  </r>
  <r>
    <s v="19d62d484cba71963c93f0f00ab42013"/>
    <x v="6"/>
    <n v="1"/>
    <n v="1"/>
    <n v="162.59"/>
    <n v="4"/>
    <n v="100"/>
  </r>
  <r>
    <s v="3bb32fedaa74e4ad20f4ce067733bd31"/>
    <x v="6"/>
    <n v="2"/>
    <n v="3"/>
    <n v="162.56"/>
    <n v="4.67"/>
    <n v="100"/>
  </r>
  <r>
    <s v="f664f98bfda2eaf266a23ff144e7a872"/>
    <x v="0"/>
    <n v="2"/>
    <n v="2"/>
    <n v="161.80000000000001"/>
    <n v="3"/>
    <n v="100"/>
  </r>
  <r>
    <s v="461ff5303b6c9c1a4a07f40c5aece516"/>
    <x v="4"/>
    <n v="3"/>
    <n v="3"/>
    <n v="161.43"/>
    <n v="3.67"/>
    <n v="100"/>
  </r>
  <r>
    <s v="398cb257329ef7af7f1943a8974a3cbc"/>
    <x v="1"/>
    <n v="1"/>
    <n v="1"/>
    <n v="161.37"/>
    <n v="5"/>
    <n v="100"/>
  </r>
  <r>
    <s v="92c8bc6e8f925792247656fed09aad65"/>
    <x v="0"/>
    <n v="2"/>
    <n v="2"/>
    <n v="161.24"/>
    <n v="3"/>
    <n v="50"/>
  </r>
  <r>
    <s v="8eb88b0acb3f90a717ad659221471fa7"/>
    <x v="6"/>
    <n v="2"/>
    <n v="2"/>
    <n v="160.66999999999999"/>
    <n v="4.5"/>
    <n v="100"/>
  </r>
  <r>
    <s v="e8ff5a6ceb895583033fc2a0f314e3c2"/>
    <x v="6"/>
    <n v="1"/>
    <n v="1"/>
    <n v="158.97"/>
    <n v="5"/>
    <n v="100"/>
  </r>
  <r>
    <s v="ab91571efab27993ff2f6b36e38055c3"/>
    <x v="0"/>
    <n v="3"/>
    <n v="4"/>
    <n v="158.93"/>
    <n v="4.75"/>
    <n v="50"/>
  </r>
  <r>
    <s v="36f98ad67cc981f50ce8aed093d5783c"/>
    <x v="4"/>
    <n v="2"/>
    <n v="2"/>
    <n v="158.62"/>
    <n v="4"/>
    <n v="100"/>
  </r>
  <r>
    <s v="1fbe10c70e30765ed1de86d9f7e98409"/>
    <x v="0"/>
    <n v="2"/>
    <n v="6"/>
    <n v="158.11000000000001"/>
    <n v="1.5"/>
    <n v="100"/>
  </r>
  <r>
    <s v="e82de6494d91d3c4c54450f59b227a94"/>
    <x v="0"/>
    <n v="3"/>
    <n v="3"/>
    <n v="157.69999999999999"/>
    <n v="5"/>
    <n v="66.7"/>
  </r>
  <r>
    <s v="741f8c587cb4248ebc5b779a0e8e0e51"/>
    <x v="0"/>
    <n v="5"/>
    <n v="5"/>
    <n v="157.63999999999999"/>
    <n v="4"/>
    <n v="80"/>
  </r>
  <r>
    <s v="be1e9e378700cecaa4ebf71433d7915c"/>
    <x v="0"/>
    <n v="2"/>
    <n v="2"/>
    <n v="157.51"/>
    <n v="3"/>
    <n v="0"/>
  </r>
  <r>
    <s v="e00d85ce20ea50c1224c66ca5050527d"/>
    <x v="0"/>
    <n v="1"/>
    <n v="1"/>
    <n v="157.30000000000001"/>
    <n v="4"/>
    <n v="100"/>
  </r>
  <r>
    <s v="4c4d546adf3c3868fe19c9ec6e9ffda9"/>
    <x v="4"/>
    <n v="2"/>
    <n v="3"/>
    <n v="157.09"/>
    <n v="3.67"/>
    <n v="100"/>
  </r>
  <r>
    <s v="062c325cd6a2b87845fab56b4ec2eeae"/>
    <x v="0"/>
    <n v="2"/>
    <n v="2"/>
    <n v="157.08000000000001"/>
    <n v="5"/>
    <n v="100"/>
  </r>
  <r>
    <s v="40ec8ab6cdafbcc4f544da38c67da39a"/>
    <x v="4"/>
    <n v="2"/>
    <n v="2"/>
    <n v="157"/>
    <n v="5"/>
    <n v="100"/>
  </r>
  <r>
    <s v="59de1d4c8c057c2a53acd4ca66531af2"/>
    <x v="4"/>
    <n v="1"/>
    <n v="1"/>
    <n v="156.75"/>
    <n v="5"/>
    <n v="100"/>
  </r>
  <r>
    <s v="712efd3b68f9686dc856b84abd0f21ae"/>
    <x v="4"/>
    <n v="1"/>
    <n v="1"/>
    <n v="156.16"/>
    <n v="4"/>
    <n v="100"/>
  </r>
  <r>
    <s v="4a5b36211b1f51bf7eaa5c10a57fa483"/>
    <x v="2"/>
    <n v="1"/>
    <n v="1"/>
    <n v="155.26"/>
    <n v="5"/>
    <n v="100"/>
  </r>
  <r>
    <s v="bf0045791395e66460eb04749c68672a"/>
    <x v="0"/>
    <n v="2"/>
    <n v="2"/>
    <n v="155.25"/>
    <n v="4"/>
    <n v="100"/>
  </r>
  <r>
    <s v="876182d1918783bbe15233febfbd4926"/>
    <x v="0"/>
    <n v="3"/>
    <n v="3"/>
    <n v="155"/>
    <n v="4"/>
    <n v="100"/>
  </r>
  <r>
    <s v="26e2e5033827d2ba53929f43e03d8ffe"/>
    <x v="0"/>
    <n v="1"/>
    <n v="1"/>
    <n v="154.78"/>
    <n v="5"/>
    <n v="100"/>
  </r>
  <r>
    <s v="96e5dc09087bad639b4ee193104ec2e5"/>
    <x v="2"/>
    <n v="2"/>
    <n v="2"/>
    <n v="154.44"/>
    <n v="4.5"/>
    <n v="100"/>
  </r>
  <r>
    <s v="aa1eb17b9fdf6dfd546e25c45c7b9235"/>
    <x v="0"/>
    <n v="3"/>
    <n v="4"/>
    <n v="154.26"/>
    <n v="4.5"/>
    <n v="100"/>
  </r>
  <r>
    <s v="f114dca2828bf718548db175ebe2cfcd"/>
    <x v="4"/>
    <n v="1"/>
    <n v="1"/>
    <n v="152.99"/>
    <n v="1"/>
    <n v="100"/>
  </r>
  <r>
    <s v="519a7aa428f18d125a283cf8c014fdd6"/>
    <x v="6"/>
    <n v="3"/>
    <n v="3"/>
    <n v="152.80000000000001"/>
    <n v="4"/>
    <n v="100"/>
  </r>
  <r>
    <s v="934ed5cd1b9c1c7382d0a94a94b9e639"/>
    <x v="4"/>
    <n v="1"/>
    <n v="1"/>
    <n v="152.47"/>
    <n v="5"/>
    <n v="100"/>
  </r>
  <r>
    <s v="788f22bafdd7ab0e1e79f19db72f16a4"/>
    <x v="0"/>
    <n v="2"/>
    <n v="2"/>
    <n v="152.04"/>
    <n v="4.5"/>
    <n v="100"/>
  </r>
  <r>
    <s v="4e42581f08e8cfc7c090f930bac4552a"/>
    <x v="0"/>
    <n v="1"/>
    <n v="2"/>
    <n v="151.80000000000001"/>
    <n v="1"/>
    <n v="0"/>
  </r>
  <r>
    <s v="13dd308f81fea30cc670c656b2b46cc3"/>
    <x v="0"/>
    <n v="3"/>
    <n v="3"/>
    <n v="151.13999999999999"/>
    <n v="5"/>
    <n v="100"/>
  </r>
  <r>
    <s v="5f57db27027655e6c6a391601daa0258"/>
    <x v="9"/>
    <n v="1"/>
    <n v="1"/>
    <n v="151.04"/>
    <n v="5"/>
    <n v="100"/>
  </r>
  <r>
    <s v="910a922b426b7ff95eaee129ad6c0e1f"/>
    <x v="0"/>
    <n v="2"/>
    <n v="2"/>
    <n v="150.96"/>
    <n v="5"/>
    <n v="100"/>
  </r>
  <r>
    <s v="8c351ed7c326c62123318f4f3246e906"/>
    <x v="0"/>
    <n v="2"/>
    <n v="2"/>
    <n v="150.66"/>
    <n v="5"/>
    <n v="100"/>
  </r>
  <r>
    <s v="4c60877808f4318ef1107fbeb8f89afa"/>
    <x v="0"/>
    <n v="2"/>
    <n v="2"/>
    <n v="150.63"/>
    <n v="4"/>
    <n v="100"/>
  </r>
  <r>
    <s v="b416191c9813d821a295cfabafff4161"/>
    <x v="0"/>
    <n v="2"/>
    <n v="2"/>
    <n v="150.13999999999999"/>
    <n v="2.5"/>
    <n v="100"/>
  </r>
  <r>
    <s v="0f80a40c312b2472dca482cf50f5186f"/>
    <x v="0"/>
    <n v="1"/>
    <n v="1"/>
    <n v="150"/>
    <n v="3"/>
    <n v="100"/>
  </r>
  <r>
    <s v="74c7dec0a384d8a05950e629bd23bde9"/>
    <x v="0"/>
    <n v="4"/>
    <n v="4"/>
    <n v="149.79"/>
    <n v="4.25"/>
    <n v="100"/>
  </r>
  <r>
    <s v="d4a5e99e0dd915df64ba55a7fbd583fd"/>
    <x v="0"/>
    <n v="2"/>
    <n v="6"/>
    <n v="149.75"/>
    <n v="1.67"/>
    <n v="100"/>
  </r>
  <r>
    <s v="296729ffb9b684050dd24836dac4494a"/>
    <x v="0"/>
    <n v="2"/>
    <n v="2"/>
    <n v="149.61000000000001"/>
    <n v="5"/>
    <n v="100"/>
  </r>
  <r>
    <s v="739c7d7be81f63812dea0d1b1451c651"/>
    <x v="11"/>
    <n v="2"/>
    <n v="2"/>
    <n v="149.30000000000001"/>
    <n v="4"/>
    <n v="100"/>
  </r>
  <r>
    <s v="e88165a185134e13fdfc85d4fa654db8"/>
    <x v="0"/>
    <n v="2"/>
    <n v="2"/>
    <n v="149.22"/>
    <n v="3"/>
    <n v="50"/>
  </r>
  <r>
    <s v="d8bf0fc082fd4a77fc2e5679b6c00133"/>
    <x v="0"/>
    <n v="1"/>
    <n v="1"/>
    <n v="149.04"/>
    <n v="5"/>
    <n v="100"/>
  </r>
  <r>
    <s v="570d4583587a5fe2d47c7be89b91ad27"/>
    <x v="0"/>
    <n v="2"/>
    <n v="2"/>
    <n v="148.91999999999999"/>
    <n v="5"/>
    <n v="100"/>
  </r>
  <r>
    <s v="2fa13c8bd5705d279f7ed5cc9ec61c68"/>
    <x v="0"/>
    <n v="2"/>
    <n v="4"/>
    <n v="148.69999999999999"/>
    <n v="5"/>
    <n v="100"/>
  </r>
  <r>
    <s v="c87abc38c8ed3240861729e1aeadf221"/>
    <x v="0"/>
    <n v="1"/>
    <n v="1"/>
    <n v="148.68"/>
    <n v="1"/>
    <n v="100"/>
  </r>
  <r>
    <s v="db6a4d4b5f1f5f98820ce6ce2619e2de"/>
    <x v="0"/>
    <n v="1"/>
    <n v="1"/>
    <n v="148.15"/>
    <n v="5"/>
    <n v="100"/>
  </r>
  <r>
    <s v="693660429f9dc4ff704eb3d88dad54d7"/>
    <x v="0"/>
    <n v="2"/>
    <n v="2"/>
    <n v="148.12"/>
    <n v="4"/>
    <n v="100"/>
  </r>
  <r>
    <s v="52454f90d4c30c016768db02f88c1a74"/>
    <x v="0"/>
    <n v="3"/>
    <n v="5"/>
    <n v="147.66999999999999"/>
    <n v="3.6"/>
    <n v="100"/>
  </r>
  <r>
    <s v="7c4402417d51474d4d0cda9557340e40"/>
    <x v="0"/>
    <n v="1"/>
    <n v="1"/>
    <n v="147.59"/>
    <n v="5"/>
    <n v="100"/>
  </r>
  <r>
    <s v="2f3d8b4c9e2ee165075331fea3f3095a"/>
    <x v="6"/>
    <n v="1"/>
    <n v="1"/>
    <n v="147.35"/>
    <n v="5"/>
    <n v="100"/>
  </r>
  <r>
    <s v="a90a5da8b09e44264a177c0374a5ac87"/>
    <x v="4"/>
    <n v="3"/>
    <n v="3"/>
    <n v="147.30000000000001"/>
    <n v="4.33"/>
    <n v="100"/>
  </r>
  <r>
    <s v="c26ba52cf8d2f34915f2f6b7ffa0a3f3"/>
    <x v="2"/>
    <n v="3"/>
    <n v="3"/>
    <n v="146.22"/>
    <n v="5"/>
    <n v="100"/>
  </r>
  <r>
    <s v="cd52a8efd71af3336b14b5039b951cc1"/>
    <x v="0"/>
    <n v="2"/>
    <n v="2"/>
    <n v="146.1"/>
    <n v="3"/>
    <n v="100"/>
  </r>
  <r>
    <s v="2b5ed0c9139dae8883a200dfcb272ece"/>
    <x v="0"/>
    <n v="4"/>
    <n v="4"/>
    <n v="144.75"/>
    <n v="4.25"/>
    <n v="75"/>
  </r>
  <r>
    <s v="70126eecc6aa1274392a1743866e9678"/>
    <x v="0"/>
    <n v="3"/>
    <n v="3"/>
    <n v="144.74"/>
    <n v="5"/>
    <n v="100"/>
  </r>
  <r>
    <s v="e732329483fd5f27367dd997b47f598a"/>
    <x v="6"/>
    <n v="1"/>
    <n v="1"/>
    <n v="144.47"/>
    <n v="5"/>
    <n v="100"/>
  </r>
  <r>
    <s v="dc120d932ddf9d4dfb6fd68beefda622"/>
    <x v="4"/>
    <n v="1"/>
    <n v="1"/>
    <n v="144.44"/>
    <n v="1"/>
    <n v="100"/>
  </r>
  <r>
    <s v="c092292535a57dacd95a8765f5518f87"/>
    <x v="2"/>
    <n v="1"/>
    <n v="1"/>
    <n v="143.97999999999999"/>
    <n v="5"/>
    <n v="100"/>
  </r>
  <r>
    <s v="b6f52e346160519c24a23af05410ad32"/>
    <x v="0"/>
    <n v="1"/>
    <n v="1"/>
    <n v="143.25"/>
    <n v="4"/>
    <n v="100"/>
  </r>
  <r>
    <s v="e5c84227854980f1db19a58958c551d9"/>
    <x v="4"/>
    <n v="4"/>
    <n v="4"/>
    <n v="141.63999999999999"/>
    <n v="4.75"/>
    <n v="100"/>
  </r>
  <r>
    <s v="e5def42655b7490edac5a56fe8e9e603"/>
    <x v="0"/>
    <n v="1"/>
    <n v="1"/>
    <n v="141.41999999999999"/>
    <n v="5"/>
    <n v="100"/>
  </r>
  <r>
    <s v="e9b6c33b71b67737693b4cfa68341c8d"/>
    <x v="0"/>
    <n v="1"/>
    <n v="1"/>
    <n v="141.38999999999999"/>
    <n v="4"/>
    <n v="100"/>
  </r>
  <r>
    <s v="160851d3ece7aa1a510f8d1a4bb8a8af"/>
    <x v="0"/>
    <n v="2"/>
    <n v="2"/>
    <n v="141.15"/>
    <n v="5"/>
    <n v="100"/>
  </r>
  <r>
    <s v="11d4c477d09821164bca4f70a2eae031"/>
    <x v="0"/>
    <n v="3"/>
    <n v="4"/>
    <n v="140.86000000000001"/>
    <n v="5"/>
    <n v="100"/>
  </r>
  <r>
    <s v="a69aa24cec11168e7e39a3fbc727e925"/>
    <x v="0"/>
    <n v="3"/>
    <n v="3"/>
    <n v="140.29"/>
    <n v="5"/>
    <n v="100"/>
  </r>
  <r>
    <s v="bba8d0c234a52b87b3957037a215d1a4"/>
    <x v="12"/>
    <n v="1"/>
    <n v="1"/>
    <n v="139.53"/>
    <n v="5"/>
    <n v="100"/>
  </r>
  <r>
    <s v="003554e2dce176b5555353e4f3555ac8"/>
    <x v="12"/>
    <n v="1"/>
    <n v="1"/>
    <n v="139.38"/>
    <n v="5"/>
    <n v="100"/>
  </r>
  <r>
    <s v="cb5ff1b9715e99589f3e0c7a6afab9e3"/>
    <x v="4"/>
    <n v="4"/>
    <n v="4"/>
    <n v="139.03"/>
    <n v="4"/>
    <n v="100"/>
  </r>
  <r>
    <s v="d52cbce9845184537284a23c3bc3da0e"/>
    <x v="6"/>
    <n v="2"/>
    <n v="4"/>
    <n v="138.78"/>
    <n v="5"/>
    <n v="100"/>
  </r>
  <r>
    <s v="01266d4c46afa519678d16a8b683d325"/>
    <x v="4"/>
    <n v="3"/>
    <n v="3"/>
    <n v="137.47999999999999"/>
    <n v="5"/>
    <n v="100"/>
  </r>
  <r>
    <s v="00d8b143d12632bad99c0ad66ad52825"/>
    <x v="3"/>
    <n v="1"/>
    <n v="1"/>
    <n v="137.1"/>
    <n v="5"/>
    <n v="100"/>
  </r>
  <r>
    <s v="a353b1083c9863d756d9404695016d64"/>
    <x v="9"/>
    <n v="1"/>
    <n v="1"/>
    <n v="137.09"/>
    <n v="5"/>
    <n v="100"/>
  </r>
  <r>
    <s v="35281d148dcf7134bae913c57db4e6da"/>
    <x v="0"/>
    <n v="1"/>
    <n v="1"/>
    <n v="137.02000000000001"/>
    <n v="5"/>
    <n v="100"/>
  </r>
  <r>
    <s v="fc5a0d7a310a7a41abf86a458585ff2b"/>
    <x v="0"/>
    <n v="1"/>
    <n v="1"/>
    <n v="136.97"/>
    <n v="4"/>
    <n v="100"/>
  </r>
  <r>
    <s v="4be9ae93c4fc0f41713d71a4194ee1b3"/>
    <x v="3"/>
    <n v="1"/>
    <n v="1"/>
    <n v="136.97"/>
    <n v="5"/>
    <n v="100"/>
  </r>
  <r>
    <s v="164a5a8794e6d42e14f55e447b12a3bc"/>
    <x v="4"/>
    <n v="1"/>
    <n v="1"/>
    <n v="136.76"/>
    <n v="5"/>
    <n v="100"/>
  </r>
  <r>
    <s v="781a66c0d89e30814d49fe8b5e14cd07"/>
    <x v="0"/>
    <n v="1"/>
    <n v="1"/>
    <n v="136.30000000000001"/>
    <n v="1"/>
    <n v="0"/>
  </r>
  <r>
    <s v="d1aa1ec0839dcab73a6161130eb1f94a"/>
    <x v="4"/>
    <n v="1"/>
    <n v="1"/>
    <n v="136.04"/>
    <n v="4"/>
    <n v="0"/>
  </r>
  <r>
    <s v="07a9bc7f61396b658ddf3ac534efe44c"/>
    <x v="0"/>
    <n v="1"/>
    <n v="1"/>
    <n v="135.49"/>
    <n v="3.5"/>
    <n v="100"/>
  </r>
  <r>
    <s v="a150c540f572d0fb53992264bc5c10b5"/>
    <x v="0"/>
    <n v="1"/>
    <n v="1"/>
    <n v="135.49"/>
    <n v="4"/>
    <n v="100"/>
  </r>
  <r>
    <s v="6235903333ba7de1928c869e268e5964"/>
    <x v="6"/>
    <n v="1"/>
    <n v="1"/>
    <n v="135.47999999999999"/>
    <n v="5"/>
    <n v="100"/>
  </r>
  <r>
    <s v="7994081388d55b9cf976c050653dd359"/>
    <x v="0"/>
    <n v="1"/>
    <n v="1"/>
    <n v="134.6"/>
    <n v="5"/>
    <n v="100"/>
  </r>
  <r>
    <s v="8dd386be0767c330276ea6a3f96532d3"/>
    <x v="6"/>
    <n v="1"/>
    <n v="2"/>
    <n v="134.47999999999999"/>
    <n v="5"/>
    <n v="100"/>
  </r>
  <r>
    <s v="d8d9567d0bfb0bc7eb845a205ba42657"/>
    <x v="0"/>
    <n v="4"/>
    <n v="4"/>
    <n v="134.31"/>
    <n v="3.5"/>
    <n v="75"/>
  </r>
  <r>
    <s v="623ad9d0c1e14bb5464a8c72bff7b4af"/>
    <x v="3"/>
    <n v="1"/>
    <n v="1"/>
    <n v="133.96"/>
    <n v="4"/>
    <n v="100"/>
  </r>
  <r>
    <s v="674207551483fec113276b67b0d871ff"/>
    <x v="0"/>
    <n v="1"/>
    <n v="1"/>
    <n v="133.84"/>
    <n v="5"/>
    <n v="100"/>
  </r>
  <r>
    <s v="9c3a1c416c765687bc79a04113269929"/>
    <x v="3"/>
    <n v="1"/>
    <n v="1"/>
    <n v="133.80000000000001"/>
    <n v="1"/>
    <n v="100"/>
  </r>
  <r>
    <s v="0dfbed20065e425d2eaefb101f9816c0"/>
    <x v="0"/>
    <n v="3"/>
    <n v="3"/>
    <n v="133.6"/>
    <n v="2.67"/>
    <n v="66.7"/>
  </r>
  <r>
    <s v="9bf11dfc0bec77e5a23028043c3c5a8f"/>
    <x v="3"/>
    <n v="1"/>
    <n v="1"/>
    <n v="132.06"/>
    <n v="1"/>
    <n v="0"/>
  </r>
  <r>
    <s v="1cbcd2ee0afb3fc09963b87eb65e7e4f"/>
    <x v="4"/>
    <n v="1"/>
    <n v="3"/>
    <n v="130.65"/>
    <n v="5"/>
    <n v="100"/>
  </r>
  <r>
    <s v="2c9005d8043aff18b8557ffb7b13cda4"/>
    <x v="9"/>
    <n v="1"/>
    <n v="1"/>
    <n v="129.63999999999999"/>
    <n v="5"/>
    <n v="100"/>
  </r>
  <r>
    <s v="782f78b632a43875dd5b53e3e49c9564"/>
    <x v="0"/>
    <n v="1"/>
    <n v="2"/>
    <n v="129.56"/>
    <n v="5"/>
    <n v="100"/>
  </r>
  <r>
    <s v="93bef6edaa84956e8e575016449b6351"/>
    <x v="0"/>
    <n v="1"/>
    <n v="1"/>
    <n v="129.56"/>
    <n v="5"/>
    <n v="100"/>
  </r>
  <r>
    <s v="43b2c864251aa0ce4030c746984e088a"/>
    <x v="10"/>
    <n v="2"/>
    <n v="2"/>
    <n v="129.32"/>
    <n v="3"/>
    <n v="100"/>
  </r>
  <r>
    <s v="011b0eaba87386a2ae96a7d32bb531d1"/>
    <x v="0"/>
    <n v="1"/>
    <n v="2"/>
    <n v="129.16"/>
    <n v="4"/>
    <n v="100"/>
  </r>
  <r>
    <s v="324583d68897f5ddbaf38f6248322176"/>
    <x v="0"/>
    <n v="2"/>
    <n v="3"/>
    <n v="127.99"/>
    <n v="1"/>
    <n v="33.299999999999997"/>
  </r>
  <r>
    <s v="28d162ab86bb49d719c32f0ee6186eaa"/>
    <x v="0"/>
    <n v="1"/>
    <n v="1"/>
    <n v="127.2"/>
    <n v="4"/>
    <n v="100"/>
  </r>
  <r>
    <s v="62de60d81c55c29d76a6bce418b31cef"/>
    <x v="0"/>
    <n v="1"/>
    <n v="1"/>
    <n v="126.87"/>
    <n v="4"/>
    <n v="100"/>
  </r>
  <r>
    <s v="80cfd480be3eb6d6267139f5cb793555"/>
    <x v="0"/>
    <n v="1"/>
    <n v="1"/>
    <n v="126.34"/>
    <n v="4"/>
    <n v="100"/>
  </r>
  <r>
    <s v="f43827dd686be3a4a80e00aa299990fb"/>
    <x v="0"/>
    <n v="1"/>
    <n v="2"/>
    <n v="125.74"/>
    <n v="2"/>
    <n v="100"/>
  </r>
  <r>
    <s v="ec2e006556300a79a5a91e4876ab3a56"/>
    <x v="0"/>
    <n v="2"/>
    <n v="6"/>
    <n v="125.73"/>
    <n v="1.5"/>
    <n v="50"/>
  </r>
  <r>
    <s v="be67f78487e2cecb0d55bc769709e4f5"/>
    <x v="3"/>
    <n v="1"/>
    <n v="1"/>
    <n v="125.64"/>
    <n v="5"/>
    <n v="100"/>
  </r>
  <r>
    <s v="eaaa46e98c9e61f6764dd1d7a2ab8b3e"/>
    <x v="15"/>
    <n v="1"/>
    <n v="1"/>
    <n v="125.64"/>
    <n v="5"/>
    <n v="100"/>
  </r>
  <r>
    <s v="7bb8fac2913a6064ec412e583c6d8b4d"/>
    <x v="0"/>
    <n v="1"/>
    <n v="1"/>
    <n v="125.52"/>
    <n v="5"/>
    <n v="100"/>
  </r>
  <r>
    <s v="60da8bfa7eebe230b7d66ac4082d79b3"/>
    <x v="0"/>
    <n v="3"/>
    <n v="3"/>
    <n v="125.27"/>
    <n v="4.33"/>
    <n v="66.7"/>
  </r>
  <r>
    <s v="443d880f15cbd3572885e1d44bf2c478"/>
    <x v="0"/>
    <n v="1"/>
    <n v="2"/>
    <n v="125"/>
    <n v="2"/>
    <n v="100"/>
  </r>
  <r>
    <s v="e09887ca8c7bf8a4621ce481820414ef"/>
    <x v="0"/>
    <n v="2"/>
    <n v="3"/>
    <n v="124.57"/>
    <n v="3.67"/>
    <n v="66.7"/>
  </r>
  <r>
    <s v="253c025bab43881055aeecde5e2d8b77"/>
    <x v="4"/>
    <n v="2"/>
    <n v="2"/>
    <n v="124.33"/>
    <n v="4.5"/>
    <n v="50"/>
  </r>
  <r>
    <s v="b8d890108a7a80e4f5d59eea9f362438"/>
    <x v="4"/>
    <n v="2"/>
    <n v="3"/>
    <n v="124.29"/>
    <n v="3.33"/>
    <n v="100"/>
  </r>
  <r>
    <s v="2aafae69bf4c41fbd94053d9413e87ee"/>
    <x v="8"/>
    <n v="2"/>
    <n v="2"/>
    <n v="123.87"/>
    <n v="4.5"/>
    <n v="100"/>
  </r>
  <r>
    <s v="5741dc2bf5044c34d0698681c5081bed"/>
    <x v="0"/>
    <n v="3"/>
    <n v="3"/>
    <n v="123.75"/>
    <n v="5"/>
    <n v="100"/>
  </r>
  <r>
    <s v="db1f0f7c7e5e87f40b62226f020bb297"/>
    <x v="4"/>
    <n v="3"/>
    <n v="3"/>
    <n v="123.73"/>
    <n v="4.67"/>
    <n v="100"/>
  </r>
  <r>
    <s v="889009a0ed0bb52c87819941192931b8"/>
    <x v="0"/>
    <n v="1"/>
    <n v="1"/>
    <n v="122.98"/>
    <n v="4"/>
    <n v="100"/>
  </r>
  <r>
    <s v="a4fc6eadaff1576af888509a53420f6a"/>
    <x v="0"/>
    <n v="1"/>
    <n v="1"/>
    <n v="121.62"/>
    <n v="3"/>
    <n v="100"/>
  </r>
  <r>
    <s v="247587846358bb1d2e4c6522020b36fe"/>
    <x v="0"/>
    <n v="1"/>
    <n v="1"/>
    <n v="121.51"/>
    <n v="5"/>
    <n v="100"/>
  </r>
  <r>
    <s v="05aebce0b5c8f0d41b29b686f2d05fd3"/>
    <x v="0"/>
    <n v="2"/>
    <n v="2"/>
    <n v="120.88"/>
    <n v="5"/>
    <n v="100"/>
  </r>
  <r>
    <s v="9d213f303afae4983637247556438ede"/>
    <x v="0"/>
    <n v="2"/>
    <n v="3"/>
    <n v="120.81"/>
    <n v="5"/>
    <n v="100"/>
  </r>
  <r>
    <s v="4fae87d32467e18eb46e4a76a0a0b9ce"/>
    <x v="8"/>
    <n v="1"/>
    <n v="1"/>
    <n v="120.8"/>
    <n v="5"/>
    <n v="100"/>
  </r>
  <r>
    <s v="db7ed69a53aa9fb1c01930ba54a88bbe"/>
    <x v="0"/>
    <n v="1"/>
    <n v="1"/>
    <n v="120.78"/>
    <n v="5"/>
    <n v="100"/>
  </r>
  <r>
    <s v="4cc43a222a0f94910728b62b97a8c5f8"/>
    <x v="0"/>
    <n v="1"/>
    <n v="1"/>
    <n v="120.76"/>
    <n v="3"/>
    <n v="100"/>
  </r>
  <r>
    <s v="a2b911e9ad40dc7d61c142a4683e2d85"/>
    <x v="2"/>
    <n v="1"/>
    <n v="1"/>
    <n v="120.3"/>
    <n v="5"/>
    <n v="100"/>
  </r>
  <r>
    <s v="2cb98e27ce1c18abdb42209b34c382a7"/>
    <x v="0"/>
    <n v="1"/>
    <n v="1"/>
    <n v="119.7"/>
    <n v="4"/>
    <n v="100"/>
  </r>
  <r>
    <s v="2d20f1cd18725c91147da0791d498022"/>
    <x v="4"/>
    <n v="1"/>
    <n v="1"/>
    <n v="119.69"/>
    <n v="5"/>
    <n v="100"/>
  </r>
  <r>
    <s v="4fe2f67634d00c021aa01f96b6f2d68e"/>
    <x v="4"/>
    <n v="2"/>
    <n v="2"/>
    <n v="118.84"/>
    <n v="5"/>
    <n v="100"/>
  </r>
  <r>
    <s v="271b8923c6a549e02d3c9fd1f8c0422b"/>
    <x v="0"/>
    <n v="1"/>
    <n v="1"/>
    <n v="118.59"/>
    <n v="4"/>
    <n v="0"/>
  </r>
  <r>
    <s v="028872bfa080090a9d0abd4f1af168f8"/>
    <x v="3"/>
    <n v="1"/>
    <n v="3"/>
    <n v="117.87"/>
    <n v="5"/>
    <n v="100"/>
  </r>
  <r>
    <s v="74a9b9bddf14ece02beb81f52c41a88d"/>
    <x v="0"/>
    <n v="2"/>
    <n v="2"/>
    <n v="117.06"/>
    <n v="3.5"/>
    <n v="100"/>
  </r>
  <r>
    <s v="79b93a308a97792cf53ac75f46da00b5"/>
    <x v="2"/>
    <n v="1"/>
    <n v="1"/>
    <n v="116.04"/>
    <n v="5"/>
    <n v="100"/>
  </r>
  <r>
    <s v="17998cf586426bf0f2c3726cb0a4b211"/>
    <x v="3"/>
    <n v="2"/>
    <n v="2"/>
    <n v="115.52"/>
    <n v="4"/>
    <n v="100"/>
  </r>
  <r>
    <s v="26562f211dd1364af2a8596dc945e8ae"/>
    <x v="0"/>
    <n v="2"/>
    <n v="2"/>
    <n v="115.11"/>
    <n v="5"/>
    <n v="100"/>
  </r>
  <r>
    <s v="aa8af66c623d7d544dfe4bb85b5ebe3b"/>
    <x v="3"/>
    <n v="1"/>
    <n v="1"/>
    <n v="114.57"/>
    <n v="5"/>
    <n v="100"/>
  </r>
  <r>
    <s v="aa17b35ce4de7b565be3249ba838944f"/>
    <x v="0"/>
    <n v="2"/>
    <n v="2"/>
    <n v="114"/>
    <n v="4.5"/>
    <n v="100"/>
  </r>
  <r>
    <s v="3d2400ac620cffa23ac81bd192f7f555"/>
    <x v="0"/>
    <n v="1"/>
    <n v="1"/>
    <n v="113.9"/>
    <n v="5"/>
    <n v="100"/>
  </r>
  <r>
    <s v="6b2612338467c08c9b25f0cc55b1578d"/>
    <x v="4"/>
    <n v="1"/>
    <n v="1"/>
    <n v="113.87"/>
    <n v="4"/>
    <n v="100"/>
  </r>
  <r>
    <s v="1c742ac33582852aaf3bcfbf5893abcf"/>
    <x v="3"/>
    <n v="1"/>
    <n v="1"/>
    <n v="113.69"/>
    <n v="5"/>
    <n v="100"/>
  </r>
  <r>
    <s v="8fff28c4263ddec387f28d237fb42773"/>
    <x v="0"/>
    <n v="2"/>
    <n v="4"/>
    <n v="112.63"/>
    <n v="5"/>
    <n v="100"/>
  </r>
  <r>
    <s v="918f6fbcf3ab724d805867303e593a1b"/>
    <x v="0"/>
    <n v="2"/>
    <n v="3"/>
    <n v="112.58"/>
    <n v="4.33"/>
    <n v="100"/>
  </r>
  <r>
    <s v="376d67b61dce0c990155286e7ae486a4"/>
    <x v="0"/>
    <n v="1"/>
    <n v="1"/>
    <n v="111.91"/>
    <n v="4"/>
    <n v="100"/>
  </r>
  <r>
    <s v="270572bb714b00531be85e16e1550f26"/>
    <x v="0"/>
    <n v="1"/>
    <n v="1"/>
    <n v="111.76"/>
    <n v="5"/>
    <n v="100"/>
  </r>
  <r>
    <s v="a7c53f6b3b61adbdaa99dda97e8cbd56"/>
    <x v="0"/>
    <n v="1"/>
    <n v="1"/>
    <n v="110.3"/>
    <n v="4"/>
    <n v="100"/>
  </r>
  <r>
    <s v="a5ff20ff766e7f50bd5066f33da14413"/>
    <x v="0"/>
    <n v="2"/>
    <n v="4"/>
    <n v="110.17"/>
    <n v="3"/>
    <n v="100"/>
  </r>
  <r>
    <s v="65c255b299faf2d12050937cc219c46c"/>
    <x v="0"/>
    <n v="2"/>
    <n v="2"/>
    <n v="110.08"/>
    <n v="4.5"/>
    <n v="100"/>
  </r>
  <r>
    <s v="00ab3eff1b5192e5f1a63bcecfee11c8"/>
    <x v="0"/>
    <n v="1"/>
    <n v="1"/>
    <n v="110.08"/>
    <n v="5"/>
    <n v="100"/>
  </r>
  <r>
    <s v="7a704e63bb29c446869efde5d57524c8"/>
    <x v="4"/>
    <n v="1"/>
    <n v="1"/>
    <n v="109.9"/>
    <n v="5"/>
    <n v="100"/>
  </r>
  <r>
    <s v="154bdf805377afea75a3bd158e9eab10"/>
    <x v="0"/>
    <n v="1"/>
    <n v="1"/>
    <n v="109.72"/>
    <n v="1"/>
    <n v="0"/>
  </r>
  <r>
    <s v="22a23e5ac7061fc538cc2a019afaaf16"/>
    <x v="3"/>
    <n v="1"/>
    <n v="1"/>
    <n v="109.42"/>
    <n v="3"/>
    <n v="100"/>
  </r>
  <r>
    <s v="166e8f1381e09651983c38b1f6f91c11"/>
    <x v="6"/>
    <n v="2"/>
    <n v="2"/>
    <n v="109"/>
    <n v="5"/>
    <n v="100"/>
  </r>
  <r>
    <s v="6d04126aba80df143fd038e711b8fd96"/>
    <x v="2"/>
    <n v="1"/>
    <n v="1"/>
    <n v="108.86"/>
    <n v="1"/>
    <n v="0"/>
  </r>
  <r>
    <s v="d7d517afce974cd491b8d52bb5b5b1fc"/>
    <x v="0"/>
    <n v="1"/>
    <n v="1"/>
    <n v="108.72"/>
    <n v="4"/>
    <n v="100"/>
  </r>
  <r>
    <s v="a72f15980dc3e9bfd1a49ac9b2f3af65"/>
    <x v="0"/>
    <n v="1"/>
    <n v="1"/>
    <n v="108.63"/>
    <n v="4"/>
    <n v="100"/>
  </r>
  <r>
    <s v="dd264199fc8b687ad029de7de6d760e6"/>
    <x v="4"/>
    <n v="1"/>
    <n v="1"/>
    <n v="108.6"/>
    <n v="5"/>
    <n v="100"/>
  </r>
  <r>
    <s v="cac4e0bc1a3269fa2b6ea5e763f6115b"/>
    <x v="6"/>
    <n v="2"/>
    <n v="3"/>
    <n v="108.02"/>
    <n v="5"/>
    <n v="100"/>
  </r>
  <r>
    <s v="2bdb95a56a36ebbc6640337ac5eac174"/>
    <x v="0"/>
    <n v="1"/>
    <n v="1"/>
    <n v="107.9"/>
    <n v="5"/>
    <n v="100"/>
  </r>
  <r>
    <s v="5de1c80811ce7007f62f00d971236c09"/>
    <x v="6"/>
    <n v="2"/>
    <n v="2"/>
    <n v="107.75"/>
    <n v="5"/>
    <n v="100"/>
  </r>
  <r>
    <s v="d598f929fc44e1e38678e7f47250ec04"/>
    <x v="12"/>
    <n v="1"/>
    <n v="1"/>
    <n v="107.3"/>
    <n v="5"/>
    <n v="100"/>
  </r>
  <r>
    <s v="6624bc09786f0e41ae48dfc5eeb1a9e2"/>
    <x v="3"/>
    <n v="1"/>
    <n v="1"/>
    <n v="107.01"/>
    <n v="5"/>
    <n v="100"/>
  </r>
  <r>
    <s v="a56a8043ebf66e42119618fb8cf232c6"/>
    <x v="6"/>
    <n v="1"/>
    <n v="1"/>
    <n v="106.73"/>
    <n v="5"/>
    <n v="100"/>
  </r>
  <r>
    <s v="5305693ffae2d3463377b1f6fe67b15a"/>
    <x v="0"/>
    <n v="1"/>
    <n v="1"/>
    <n v="106.55"/>
    <n v="5"/>
    <n v="100"/>
  </r>
  <r>
    <s v="e4f121bf6ef8b9a1d4d3e65dd0473fab"/>
    <x v="0"/>
    <n v="2"/>
    <n v="2"/>
    <n v="106.46"/>
    <n v="3"/>
    <n v="50"/>
  </r>
  <r>
    <s v="f8f35af4634605e6693c17cc3ffff5a8"/>
    <x v="3"/>
    <n v="1"/>
    <n v="1"/>
    <n v="106.39"/>
    <n v="5"/>
    <n v="100"/>
  </r>
  <r>
    <s v="b86a47b3366e3b5424a7b225781f4908"/>
    <x v="3"/>
    <n v="1"/>
    <n v="1"/>
    <n v="106.35"/>
    <n v="3"/>
    <n v="100"/>
  </r>
  <r>
    <s v="499185655c29ecfdbfe776ef7cf875b5"/>
    <x v="8"/>
    <n v="1"/>
    <n v="1"/>
    <n v="106.33"/>
    <n v="4"/>
    <n v="100"/>
  </r>
  <r>
    <s v="e5bd51692380fd8cabb19b756b95e714"/>
    <x v="0"/>
    <n v="2"/>
    <n v="2"/>
    <n v="105.75"/>
    <n v="3"/>
    <n v="0"/>
  </r>
  <r>
    <s v="dedcab67899479e4ea5dcc4eba47f587"/>
    <x v="6"/>
    <n v="2"/>
    <n v="2"/>
    <n v="105.64"/>
    <n v="4.5"/>
    <n v="100"/>
  </r>
  <r>
    <s v="29c322e3f09f886f8bacbe91dfbd979e"/>
    <x v="8"/>
    <n v="1"/>
    <n v="2"/>
    <n v="105.57"/>
    <n v="5"/>
    <n v="100"/>
  </r>
  <r>
    <s v="466222e777149751370e7e98fb623b0c"/>
    <x v="2"/>
    <n v="1"/>
    <n v="1"/>
    <n v="105.45"/>
    <n v="5"/>
    <n v="100"/>
  </r>
  <r>
    <s v="bbf4a892cac7b82422baa711dffb8997"/>
    <x v="4"/>
    <n v="1"/>
    <n v="1"/>
    <n v="105.34"/>
    <n v="5"/>
    <n v="100"/>
  </r>
  <r>
    <s v="4aba6a02a788d3ec81c03137144d9a80"/>
    <x v="6"/>
    <n v="1"/>
    <n v="1"/>
    <n v="105.28"/>
    <n v="5"/>
    <n v="100"/>
  </r>
  <r>
    <s v="6187a137b2af59dfdbad8d9f8c373c14"/>
    <x v="0"/>
    <n v="2"/>
    <n v="2"/>
    <n v="105.02"/>
    <n v="3"/>
    <n v="100"/>
  </r>
  <r>
    <s v="a7b7354cc588f7566a848bcbb1ce3d96"/>
    <x v="0"/>
    <n v="2"/>
    <n v="2"/>
    <n v="104.87"/>
    <n v="4"/>
    <n v="100"/>
  </r>
  <r>
    <s v="b5dd7151a92ccaaa282cbe9681a05f44"/>
    <x v="0"/>
    <n v="1"/>
    <n v="1"/>
    <n v="103.7"/>
    <n v="5"/>
    <n v="100"/>
  </r>
  <r>
    <s v="5587130f9850696ed7fafbc91c2cee44"/>
    <x v="0"/>
    <n v="2"/>
    <n v="2"/>
    <n v="103.49"/>
    <n v="5"/>
    <n v="100"/>
  </r>
  <r>
    <s v="da2782c804606d2a5d8e1760dbb3e7ec"/>
    <x v="0"/>
    <n v="1"/>
    <n v="1"/>
    <n v="103.37"/>
    <n v="1"/>
    <n v="0"/>
  </r>
  <r>
    <s v="0f519b0d2e5eb2227c93dd25038bfc01"/>
    <x v="0"/>
    <n v="1"/>
    <n v="1"/>
    <n v="102.9"/>
    <n v="5"/>
    <n v="100"/>
  </r>
  <r>
    <s v="a1bea9970d8f65b240555f99c2214f7f"/>
    <x v="4"/>
    <n v="1"/>
    <n v="1"/>
    <n v="102.48"/>
    <n v="3"/>
    <n v="100"/>
  </r>
  <r>
    <s v="48e5ee06fb2dc74df1c711a9b6dfac2a"/>
    <x v="3"/>
    <n v="1"/>
    <n v="3"/>
    <n v="102.3"/>
    <n v="5"/>
    <n v="100"/>
  </r>
  <r>
    <s v="b452cb0ae35044c4a53179c39f49fb06"/>
    <x v="0"/>
    <n v="2"/>
    <n v="2"/>
    <n v="101.99"/>
    <n v="4"/>
    <n v="100"/>
  </r>
  <r>
    <s v="83f2b4881141ce3fcd4e985125d3279e"/>
    <x v="0"/>
    <n v="3"/>
    <n v="3"/>
    <n v="101.38"/>
    <n v="5"/>
    <n v="100"/>
  </r>
  <r>
    <s v="42d4b7e70819438f5ada61c965e92d7e"/>
    <x v="12"/>
    <n v="1"/>
    <n v="3"/>
    <n v="100.78"/>
    <n v="1"/>
    <n v="100"/>
  </r>
  <r>
    <s v="c6381b1321d7d97717a5bb4ed5b77882"/>
    <x v="0"/>
    <n v="2"/>
    <n v="3"/>
    <n v="100.01"/>
    <n v="3.67"/>
    <n v="100"/>
  </r>
  <r>
    <s v="43a5d4a57af536fddc96d08be3afdfcb"/>
    <x v="3"/>
    <n v="1"/>
    <n v="1"/>
    <n v="99.83"/>
    <n v="1"/>
    <n v="100"/>
  </r>
  <r>
    <s v="a7d0f8dd44f57ef6de7f7f02e3d82630"/>
    <x v="0"/>
    <n v="2"/>
    <n v="2"/>
    <n v="99.67"/>
    <n v="4.5"/>
    <n v="100"/>
  </r>
  <r>
    <s v="8132b9bd16876e1b0f8808d43825dd48"/>
    <x v="6"/>
    <n v="1"/>
    <n v="1"/>
    <n v="98.9"/>
    <n v="5"/>
    <n v="100"/>
  </r>
  <r>
    <s v="cd233f8bfa30ebfd651f47ee7d054951"/>
    <x v="0"/>
    <n v="1"/>
    <n v="1"/>
    <n v="98.56"/>
    <n v="5"/>
    <n v="100"/>
  </r>
  <r>
    <s v="8fb67a334bacec338885b4e9e1708073"/>
    <x v="4"/>
    <n v="1"/>
    <n v="1"/>
    <n v="98.42"/>
    <n v="5"/>
    <n v="100"/>
  </r>
  <r>
    <s v="52b53f7061969fe471d119b6195da864"/>
    <x v="0"/>
    <n v="1"/>
    <n v="1"/>
    <n v="98.37"/>
    <n v="5"/>
    <n v="100"/>
  </r>
  <r>
    <s v="dcb7367a92f5ffb89f1e2152ed260285"/>
    <x v="0"/>
    <n v="1"/>
    <n v="1"/>
    <n v="98.34"/>
    <n v="5"/>
    <n v="100"/>
  </r>
  <r>
    <s v="8cb7c5ddf41f4d506eba76e9a4702a25"/>
    <x v="12"/>
    <n v="1"/>
    <n v="1"/>
    <n v="97.88"/>
    <n v="5"/>
    <n v="100"/>
  </r>
  <r>
    <s v="97e50a621f8e801f4baf69e08687c192"/>
    <x v="0"/>
    <n v="1"/>
    <n v="1"/>
    <n v="97.78"/>
    <n v="5"/>
    <n v="100"/>
  </r>
  <r>
    <s v="ca5832c6960267b71041f74bb39e8b12"/>
    <x v="6"/>
    <n v="1"/>
    <n v="1"/>
    <n v="97.71"/>
    <n v="1"/>
    <n v="0"/>
  </r>
  <r>
    <s v="ba8e85df286308fe68a2ce83a8f8b2d6"/>
    <x v="6"/>
    <n v="1"/>
    <n v="1"/>
    <n v="97.66"/>
    <n v="5"/>
    <n v="100"/>
  </r>
  <r>
    <s v="1d0646a72178a6fb37ee8082140e06ec"/>
    <x v="6"/>
    <n v="2"/>
    <n v="2"/>
    <n v="97.62"/>
    <n v="5"/>
    <n v="100"/>
  </r>
  <r>
    <s v="1a8e2d9c38b84a9702ac7922924b0573"/>
    <x v="6"/>
    <n v="1"/>
    <n v="1"/>
    <n v="97"/>
    <n v="5"/>
    <n v="100"/>
  </r>
  <r>
    <s v="b3809b8d4394588a47c8470ea331e135"/>
    <x v="0"/>
    <n v="1"/>
    <n v="1"/>
    <n v="96.88"/>
    <n v="4"/>
    <n v="100"/>
  </r>
  <r>
    <s v="9fbd5666d8618fa571c4230fafa09bd6"/>
    <x v="0"/>
    <n v="1"/>
    <n v="1"/>
    <n v="96.71"/>
    <n v="5"/>
    <n v="100"/>
  </r>
  <r>
    <s v="6dd7dce75cd55c1ce255dc38d9f0cd46"/>
    <x v="6"/>
    <n v="1"/>
    <n v="1"/>
    <n v="96.33"/>
    <n v="4"/>
    <n v="100"/>
  </r>
  <r>
    <s v="c8771b1a10bb99bb34d3c459c5cffb53"/>
    <x v="0"/>
    <n v="1"/>
    <n v="1"/>
    <n v="96.1"/>
    <n v="5"/>
    <n v="100"/>
  </r>
  <r>
    <s v="c0f3eea2e14555b6faeea3dd58c1b1c3"/>
    <x v="0"/>
    <n v="1"/>
    <n v="1"/>
    <n v="95.65"/>
    <n v="5"/>
    <n v="100"/>
  </r>
  <r>
    <s v="b3e2faf2c1004d674f16a3aa3197f0e1"/>
    <x v="0"/>
    <n v="3"/>
    <n v="3"/>
    <n v="95.24"/>
    <n v="5"/>
    <n v="100"/>
  </r>
  <r>
    <s v="47f55702f598c7c6cc8458b0fbc1c49a"/>
    <x v="3"/>
    <n v="1"/>
    <n v="1"/>
    <n v="94.77"/>
    <n v="5"/>
    <n v="100"/>
  </r>
  <r>
    <s v="8f0fbe2cd4d472157dc1cdef6edecaa9"/>
    <x v="0"/>
    <n v="2"/>
    <n v="2"/>
    <n v="94.76"/>
    <n v="3"/>
    <n v="100"/>
  </r>
  <r>
    <s v="497709c2976a8fa308730a2dec5b0726"/>
    <x v="0"/>
    <n v="1"/>
    <n v="2"/>
    <n v="94.04"/>
    <n v="5"/>
    <n v="100"/>
  </r>
  <r>
    <s v="bbd3acfe6de99892e73940d3fdceaf68"/>
    <x v="0"/>
    <n v="2"/>
    <n v="2"/>
    <n v="93.55"/>
    <n v="3"/>
    <n v="100"/>
  </r>
  <r>
    <s v="fe9d9cf8631285d5982c6e2cf27fb114"/>
    <x v="3"/>
    <n v="1"/>
    <n v="1"/>
    <n v="93.54"/>
    <n v="4"/>
    <n v="100"/>
  </r>
  <r>
    <s v="c8665a4dd081a2c436b1cd921079d0d9"/>
    <x v="0"/>
    <n v="1"/>
    <n v="1"/>
    <n v="93.53"/>
    <n v="5"/>
    <n v="100"/>
  </r>
  <r>
    <s v="babcc0ab201e4c60188427cae51a5b8b"/>
    <x v="0"/>
    <n v="1"/>
    <n v="1"/>
    <n v="93.13"/>
    <n v="5"/>
    <n v="100"/>
  </r>
  <r>
    <s v="f5b84683a9bf9e1df748cf40f601b39c"/>
    <x v="0"/>
    <n v="1"/>
    <n v="1"/>
    <n v="92.97"/>
    <n v="5"/>
    <n v="100"/>
  </r>
  <r>
    <s v="ec21206b7894c503788a684a7bc822a6"/>
    <x v="2"/>
    <n v="1"/>
    <n v="1"/>
    <n v="92.78"/>
    <n v="3"/>
    <n v="100"/>
  </r>
  <r>
    <s v="8b11118053756a9a2932f447e11fc1b5"/>
    <x v="0"/>
    <n v="1"/>
    <n v="1"/>
    <n v="91.16"/>
    <n v="3"/>
    <n v="100"/>
  </r>
  <r>
    <s v="5a4236931428800e9d9cc04af0987118"/>
    <x v="0"/>
    <n v="1"/>
    <n v="3"/>
    <n v="90.66"/>
    <n v="5"/>
    <n v="100"/>
  </r>
  <r>
    <s v="24a6daf925d9d591870a66660416de31"/>
    <x v="0"/>
    <n v="2"/>
    <n v="2"/>
    <n v="90.08"/>
    <n v="4.5"/>
    <n v="100"/>
  </r>
  <r>
    <s v="723a46b89fd5c3ed78ccdf039e33ac63"/>
    <x v="8"/>
    <n v="1"/>
    <n v="1"/>
    <n v="90.04"/>
    <n v="4"/>
    <n v="100"/>
  </r>
  <r>
    <s v="f90f77ef2799a27f80d90c425ca944f7"/>
    <x v="4"/>
    <n v="1"/>
    <n v="1"/>
    <n v="89.46"/>
    <n v="5"/>
    <n v="100"/>
  </r>
  <r>
    <s v="a45765f8afb1e594b22bf9e974b46765"/>
    <x v="0"/>
    <n v="1"/>
    <n v="1"/>
    <n v="88.92"/>
    <n v="4"/>
    <n v="100"/>
  </r>
  <r>
    <s v="b5b800c4065bebf4d3442311c9857344"/>
    <x v="0"/>
    <n v="1"/>
    <n v="1"/>
    <n v="88.81"/>
    <n v="5"/>
    <n v="100"/>
  </r>
  <r>
    <s v="76623fde66e6b63b59440fd34160512d"/>
    <x v="0"/>
    <n v="3"/>
    <n v="3"/>
    <n v="88.74"/>
    <n v="4"/>
    <n v="100"/>
  </r>
  <r>
    <s v="9b1f656ca3060f8af17a50d8a024b533"/>
    <x v="0"/>
    <n v="2"/>
    <n v="2"/>
    <n v="88.68"/>
    <n v="5"/>
    <n v="50"/>
  </r>
  <r>
    <s v="392f7f2c797e4dc077e4311bde2ab8ce"/>
    <x v="15"/>
    <n v="2"/>
    <n v="2"/>
    <n v="88.56"/>
    <n v="5"/>
    <n v="100"/>
  </r>
  <r>
    <s v="204b4e07bddef3c9b317f70189135b22"/>
    <x v="3"/>
    <n v="1"/>
    <n v="1"/>
    <n v="88.13"/>
    <n v="5"/>
    <n v="100"/>
  </r>
  <r>
    <s v="85e7c62c1d6ea078c3897424f867a7c8"/>
    <x v="6"/>
    <n v="2"/>
    <n v="2"/>
    <n v="87.7"/>
    <n v="4.5"/>
    <n v="100"/>
  </r>
  <r>
    <s v="933446e9a59dece7ae9175103820ca8f"/>
    <x v="4"/>
    <n v="1"/>
    <n v="1"/>
    <n v="87.37"/>
    <n v="5"/>
    <n v="100"/>
  </r>
  <r>
    <s v="d4d99b60c4c94cd35acd502cec65dc8d"/>
    <x v="0"/>
    <n v="1"/>
    <n v="1"/>
    <n v="87.29"/>
    <n v="3"/>
    <n v="100"/>
  </r>
  <r>
    <s v="4003520d80d0bad1d5623f7aa3c63cda"/>
    <x v="2"/>
    <n v="1"/>
    <n v="1"/>
    <n v="86.74"/>
    <n v="1"/>
    <n v="100"/>
  </r>
  <r>
    <s v="0a198e95d32b1be2da9424c962a6ebfa"/>
    <x v="3"/>
    <n v="1"/>
    <n v="1"/>
    <n v="86.67"/>
    <n v="5"/>
    <n v="100"/>
  </r>
  <r>
    <s v="3da38366e7bd9baf6369071f782ecdf0"/>
    <x v="14"/>
    <n v="1"/>
    <n v="1"/>
    <n v="86.43"/>
    <n v="1"/>
    <n v="0"/>
  </r>
  <r>
    <s v="f0ec78809fe0bc3edb11c9fe5b97b059"/>
    <x v="0"/>
    <n v="2"/>
    <n v="2"/>
    <n v="86.26"/>
    <n v="4"/>
    <n v="100"/>
  </r>
  <r>
    <s v="d6cd01c59123df02fc226eadbadb5f89"/>
    <x v="0"/>
    <n v="1"/>
    <n v="1"/>
    <n v="86.15"/>
    <n v="5"/>
    <n v="100"/>
  </r>
  <r>
    <s v="4e92348462c75b6c842b994ce84a0ed4"/>
    <x v="8"/>
    <n v="1"/>
    <n v="1"/>
    <n v="85.49"/>
    <n v="5"/>
    <n v="100"/>
  </r>
  <r>
    <s v="b5d034ac251546e25afe9067f05c1539"/>
    <x v="0"/>
    <n v="1"/>
    <n v="1"/>
    <n v="85.27"/>
    <n v="5"/>
    <n v="100"/>
  </r>
  <r>
    <s v="3e51f9cbe317bc3a88f2c76583811ee4"/>
    <x v="0"/>
    <n v="1"/>
    <n v="1"/>
    <n v="84.78"/>
    <n v="5"/>
    <n v="100"/>
  </r>
  <r>
    <s v="3e35a8bb43569389d3cebef0ce820f69"/>
    <x v="0"/>
    <n v="1"/>
    <n v="2"/>
    <n v="84.68"/>
    <n v="5"/>
    <n v="100"/>
  </r>
  <r>
    <s v="a3fa18b3f688ec0fca3eb8bfcbd2d5b3"/>
    <x v="0"/>
    <n v="1"/>
    <n v="2"/>
    <n v="84.26"/>
    <n v="5"/>
    <n v="100"/>
  </r>
  <r>
    <s v="edb65fe661681b1c0de8bd47c8655855"/>
    <x v="0"/>
    <n v="1"/>
    <n v="1"/>
    <n v="84.24"/>
    <n v="3"/>
    <n v="100"/>
  </r>
  <r>
    <s v="d58d521f3789def2e7a22715e0badd93"/>
    <x v="0"/>
    <n v="2"/>
    <n v="2"/>
    <n v="84.2"/>
    <n v="3.5"/>
    <n v="100"/>
  </r>
  <r>
    <s v="eaf6d55068dea77334e8477d3878d89e"/>
    <x v="0"/>
    <n v="3"/>
    <n v="3"/>
    <n v="84.01"/>
    <n v="5"/>
    <n v="100"/>
  </r>
  <r>
    <s v="d7ab82074b5f1dfba46db123df101bff"/>
    <x v="0"/>
    <n v="2"/>
    <n v="3"/>
    <n v="83.97"/>
    <n v="4.33"/>
    <n v="100"/>
  </r>
  <r>
    <s v="c13fb473e7cb8b83ccd543c094df0608"/>
    <x v="0"/>
    <n v="2"/>
    <n v="2"/>
    <n v="83.52"/>
    <n v="3.5"/>
    <n v="100"/>
  </r>
  <r>
    <s v="be7a093e5b4d147b36b72bb1f9e415e5"/>
    <x v="4"/>
    <n v="1"/>
    <n v="1"/>
    <n v="83.26"/>
    <n v="5"/>
    <n v="100"/>
  </r>
  <r>
    <s v="447d377bdb757058acb569025ee18a93"/>
    <x v="8"/>
    <n v="1"/>
    <n v="1"/>
    <n v="83.01"/>
    <n v="5"/>
    <n v="100"/>
  </r>
  <r>
    <s v="7963e546f34e098b578f9ad102494601"/>
    <x v="0"/>
    <n v="1"/>
    <n v="1"/>
    <n v="82.22"/>
    <n v="5"/>
    <n v="100"/>
  </r>
  <r>
    <s v="6ebf4eceee4dd9847201c82e77ef8123"/>
    <x v="2"/>
    <n v="1"/>
    <n v="1"/>
    <n v="82.03"/>
    <n v="5"/>
    <n v="100"/>
  </r>
  <r>
    <s v="391bbd13b6452244774beff1824006ed"/>
    <x v="0"/>
    <n v="1"/>
    <n v="1"/>
    <n v="81.599999999999994"/>
    <n v="1"/>
    <n v="0"/>
  </r>
  <r>
    <s v="dd5450b022b2d00a2145a66331e1aef6"/>
    <x v="6"/>
    <n v="1"/>
    <n v="1"/>
    <n v="81.34"/>
    <n v="5"/>
    <n v="100"/>
  </r>
  <r>
    <s v="26f6b7ab07be3e9e69ce82a6552efc19"/>
    <x v="2"/>
    <n v="2"/>
    <n v="2"/>
    <n v="80.75"/>
    <n v="3"/>
    <n v="50"/>
  </r>
  <r>
    <s v="217f005bb37ff3aeef5b2ae1788e75ba"/>
    <x v="0"/>
    <n v="2"/>
    <n v="2"/>
    <n v="80.13"/>
    <n v="4.5"/>
    <n v="100"/>
  </r>
  <r>
    <s v="a89e143d5211473ae18db9577ee34b64"/>
    <x v="0"/>
    <n v="1"/>
    <n v="1"/>
    <n v="79.94"/>
    <n v="5"/>
    <n v="100"/>
  </r>
  <r>
    <s v="c32fc744b9160ac853450488e3cfea93"/>
    <x v="0"/>
    <n v="2"/>
    <n v="2"/>
    <n v="79.849999999999994"/>
    <n v="3"/>
    <n v="100"/>
  </r>
  <r>
    <s v="a2a41aedb70551d4a85aa04dc2fced48"/>
    <x v="0"/>
    <n v="2"/>
    <n v="2"/>
    <n v="79.73"/>
    <n v="4"/>
    <n v="100"/>
  </r>
  <r>
    <s v="9ef932e837d8b7f392c0bfee9d359dc2"/>
    <x v="0"/>
    <n v="1"/>
    <n v="1"/>
    <n v="79.56"/>
    <n v="3"/>
    <n v="0"/>
  </r>
  <r>
    <s v="ac9b01377919cdbd2a1bbb8d5837c70b"/>
    <x v="0"/>
    <n v="1"/>
    <n v="1"/>
    <n v="79.44"/>
    <n v="3"/>
    <n v="100"/>
  </r>
  <r>
    <s v="d9b00a97818674c7f8d8b1ef0e689679"/>
    <x v="4"/>
    <n v="1"/>
    <n v="1"/>
    <n v="79.08"/>
    <n v="3"/>
    <n v="100"/>
  </r>
  <r>
    <s v="2eeb6531ee027a48d401e72bebdd87d3"/>
    <x v="0"/>
    <n v="3"/>
    <n v="3"/>
    <n v="78.7"/>
    <n v="4.33"/>
    <n v="100"/>
  </r>
  <r>
    <s v="1d953075c2f0dd990bacf27b83b330f1"/>
    <x v="3"/>
    <n v="1"/>
    <n v="1"/>
    <n v="78.319999999999993"/>
    <n v="5"/>
    <n v="100"/>
  </r>
  <r>
    <s v="52831e5990d0771cb4951d6f12928167"/>
    <x v="0"/>
    <n v="1"/>
    <n v="1"/>
    <n v="78.12"/>
    <n v="3"/>
    <n v="100"/>
  </r>
  <r>
    <s v="84c945f15571830c1a91a33978e94009"/>
    <x v="0"/>
    <n v="2"/>
    <n v="2"/>
    <n v="78.040000000000006"/>
    <n v="4.5"/>
    <n v="100"/>
  </r>
  <r>
    <s v="f3511c85f59f8dec53d140501ee8e7a8"/>
    <x v="4"/>
    <n v="1"/>
    <n v="1"/>
    <n v="78.010000000000005"/>
    <n v="5"/>
    <n v="100"/>
  </r>
  <r>
    <s v="f7c31656c19db6275a8acadca289f426"/>
    <x v="0"/>
    <n v="1"/>
    <n v="1"/>
    <n v="77.75"/>
    <n v="3"/>
    <n v="100"/>
  </r>
  <r>
    <s v="7c462184585ae80bd6e5774c62ce50f2"/>
    <x v="0"/>
    <n v="1"/>
    <n v="2"/>
    <n v="77.64"/>
    <n v="3"/>
    <n v="0"/>
  </r>
  <r>
    <s v="3a3c180dd702a725bd0ba4117689239e"/>
    <x v="4"/>
    <n v="1"/>
    <n v="1"/>
    <n v="77.38"/>
    <n v="4"/>
    <n v="100"/>
  </r>
  <r>
    <s v="6a3139c7bf09ece22a4713d956acbe5e"/>
    <x v="0"/>
    <n v="1"/>
    <n v="1"/>
    <n v="76.64"/>
    <n v="5"/>
    <n v="100"/>
  </r>
  <r>
    <s v="cecd97bc34ed8330bd4cd15713eda670"/>
    <x v="6"/>
    <n v="1"/>
    <n v="1"/>
    <n v="76.5"/>
    <n v="1"/>
    <n v="100"/>
  </r>
  <r>
    <s v="7315baebc0572ff220d226283dc66728"/>
    <x v="0"/>
    <n v="2"/>
    <n v="2"/>
    <n v="76.22"/>
    <n v="4"/>
    <n v="100"/>
  </r>
  <r>
    <s v="75fdd0a732287f9497b179f6bd445d32"/>
    <x v="0"/>
    <n v="1"/>
    <n v="1"/>
    <n v="76.08"/>
    <n v="5"/>
    <n v="100"/>
  </r>
  <r>
    <s v="528ce32f560edd11add4169f6a5b65be"/>
    <x v="0"/>
    <n v="2"/>
    <n v="2"/>
    <n v="75.099999999999994"/>
    <n v="5"/>
    <n v="100"/>
  </r>
  <r>
    <s v="07e8e8fc5222bb358e6f259da3197074"/>
    <x v="0"/>
    <n v="2"/>
    <n v="2"/>
    <n v="74.86"/>
    <n v="4"/>
    <n v="100"/>
  </r>
  <r>
    <s v="0af2ab31141893d26aca5a404a537dab"/>
    <x v="0"/>
    <n v="1"/>
    <n v="1"/>
    <n v="74.510000000000005"/>
    <n v="5"/>
    <n v="100"/>
  </r>
  <r>
    <s v="c240c4061717ac1806ae6ee72be3533b"/>
    <x v="2"/>
    <n v="1"/>
    <n v="1"/>
    <n v="73.89"/>
    <n v="4"/>
    <n v="100"/>
  </r>
  <r>
    <s v="9996ae921c50e8dff411ac69c0b4bb8b"/>
    <x v="0"/>
    <n v="2"/>
    <n v="3"/>
    <n v="73.37"/>
    <n v="2.33"/>
    <n v="100"/>
  </r>
  <r>
    <s v="e9e446d01bd10a97a8ffcfc4a3a20cb2"/>
    <x v="0"/>
    <n v="3"/>
    <n v="3"/>
    <n v="73.319999999999993"/>
    <n v="4.33"/>
    <n v="100"/>
  </r>
  <r>
    <s v="8cf21434553b02cbd37c0bbd07e041b0"/>
    <x v="6"/>
    <n v="1"/>
    <n v="1"/>
    <n v="73.209999999999994"/>
    <n v="4"/>
    <n v="100"/>
  </r>
  <r>
    <s v="d180e07dc1e58c31c3f0cd599dc4d945"/>
    <x v="3"/>
    <n v="1"/>
    <n v="1"/>
    <n v="72.959999999999994"/>
    <n v="3"/>
    <n v="100"/>
  </r>
  <r>
    <s v="9e94fa26a70ede4d26226e918e8706a2"/>
    <x v="0"/>
    <n v="1"/>
    <n v="1"/>
    <n v="72.739999999999995"/>
    <n v="5"/>
    <n v="100"/>
  </r>
  <r>
    <s v="c7246702dc991a06d788120dc7544391"/>
    <x v="14"/>
    <n v="1"/>
    <n v="1"/>
    <n v="72.52"/>
    <n v="5"/>
    <n v="100"/>
  </r>
  <r>
    <s v="9140ef75cc8211c4035935e80e567204"/>
    <x v="4"/>
    <n v="1"/>
    <n v="1"/>
    <n v="72.180000000000007"/>
    <n v="5"/>
    <n v="100"/>
  </r>
  <r>
    <s v="fe19dce63ae80346207c6c55713d1023"/>
    <x v="3"/>
    <n v="1"/>
    <n v="1"/>
    <n v="71.72"/>
    <n v="5"/>
    <n v="100"/>
  </r>
  <r>
    <s v="2f1e7b90e01d9f086cbcb301c0c3d406"/>
    <x v="6"/>
    <n v="1"/>
    <n v="1"/>
    <n v="71.66"/>
    <n v="5"/>
    <n v="100"/>
  </r>
  <r>
    <s v="258447aad3f7b01e2643c89f64dc5647"/>
    <x v="4"/>
    <n v="1"/>
    <n v="1"/>
    <n v="71.45"/>
    <n v="5"/>
    <n v="100"/>
  </r>
  <r>
    <s v="1d139e3a3b14025640d8df1b230aace0"/>
    <x v="0"/>
    <n v="2"/>
    <n v="2"/>
    <n v="71.180000000000007"/>
    <n v="3.5"/>
    <n v="100"/>
  </r>
  <r>
    <s v="0ee4fb99ac55ffbbc98795aa01b7f8fa"/>
    <x v="0"/>
    <n v="1"/>
    <n v="1"/>
    <n v="70.930000000000007"/>
    <n v="5"/>
    <n v="100"/>
  </r>
  <r>
    <s v="7b3447b497e55af8c15fc7bd89d7b81a"/>
    <x v="0"/>
    <n v="1"/>
    <n v="1"/>
    <n v="70.650000000000006"/>
    <n v="5"/>
    <n v="100"/>
  </r>
  <r>
    <s v="0936e1837d0c79253456bbb2ffaaef10"/>
    <x v="0"/>
    <n v="1"/>
    <n v="2"/>
    <n v="70.02"/>
    <n v="5"/>
    <n v="100"/>
  </r>
  <r>
    <s v="9ac75591b69c3402684b6ce0310f22ee"/>
    <x v="0"/>
    <n v="1"/>
    <n v="1"/>
    <n v="69.67"/>
    <n v="5"/>
    <n v="100"/>
  </r>
  <r>
    <s v="42fb44130ac3134cde8e35cf8ec7df25"/>
    <x v="0"/>
    <n v="2"/>
    <n v="2"/>
    <n v="69.28"/>
    <n v="5"/>
    <n v="100"/>
  </r>
  <r>
    <s v="3e46a38ee171c503c3b4a3f23fe3bf0c"/>
    <x v="0"/>
    <n v="1"/>
    <n v="1"/>
    <n v="69.010000000000005"/>
    <n v="5"/>
    <n v="100"/>
  </r>
  <r>
    <s v="c1552b1dab6e6f760950368ae61fb600"/>
    <x v="0"/>
    <n v="2"/>
    <n v="2"/>
    <n v="68.69"/>
    <n v="2.5"/>
    <n v="100"/>
  </r>
  <r>
    <s v="720e6cf846ea7572cbb66b743fb91e6c"/>
    <x v="0"/>
    <n v="1"/>
    <n v="1"/>
    <n v="68.55"/>
    <n v="5"/>
    <n v="100"/>
  </r>
  <r>
    <s v="5415337f1863452476d42d9f14a16a61"/>
    <x v="3"/>
    <n v="1"/>
    <n v="1"/>
    <n v="68.349999999999994"/>
    <n v="3"/>
    <n v="100"/>
  </r>
  <r>
    <s v="2c2c9832d1bb38c5b0034a3b47d313ee"/>
    <x v="8"/>
    <n v="1"/>
    <n v="1"/>
    <n v="68.349999999999994"/>
    <n v="3"/>
    <n v="100"/>
  </r>
  <r>
    <s v="c963a25b8671419c6ce9eebe8fd03218"/>
    <x v="2"/>
    <n v="1"/>
    <n v="1"/>
    <n v="68.319999999999993"/>
    <n v="5"/>
    <n v="100"/>
  </r>
  <r>
    <s v="37303482a42fb700d8d127e70a9cd6c8"/>
    <x v="0"/>
    <n v="1"/>
    <n v="1"/>
    <n v="67.010000000000005"/>
    <n v="5"/>
    <n v="100"/>
  </r>
  <r>
    <s v="ebe3dabc4955c9b0d695e7bda38bf5c3"/>
    <x v="0"/>
    <n v="1"/>
    <n v="1"/>
    <n v="66.89"/>
    <n v="3"/>
    <n v="0"/>
  </r>
  <r>
    <s v="63704069d9bd3a75c1cf59babe56004a"/>
    <x v="0"/>
    <n v="1"/>
    <n v="1"/>
    <n v="66.69"/>
    <n v="1"/>
    <n v="0"/>
  </r>
  <r>
    <s v="43753b27d77860f1654aa72e251a7878"/>
    <x v="1"/>
    <n v="1"/>
    <n v="1"/>
    <n v="66.28"/>
    <n v="5"/>
    <n v="100"/>
  </r>
  <r>
    <s v="2e2f44824ab87a0cb961f68bf4073e7f"/>
    <x v="4"/>
    <n v="1"/>
    <n v="1"/>
    <n v="65.930000000000007"/>
    <n v="2"/>
    <n v="100"/>
  </r>
  <r>
    <s v="1b61fb1f0f2185d89e9a126c498e9cc7"/>
    <x v="4"/>
    <n v="1"/>
    <n v="1"/>
    <n v="65.81"/>
    <n v="5"/>
    <n v="100"/>
  </r>
  <r>
    <s v="89dda63a3c907c468ec88c310ed91213"/>
    <x v="0"/>
    <n v="1"/>
    <n v="1"/>
    <n v="65.39"/>
    <n v="5"/>
    <n v="100"/>
  </r>
  <r>
    <s v="58e4b302b54937e55a678c4d15111da4"/>
    <x v="4"/>
    <n v="1"/>
    <n v="1"/>
    <n v="64.42"/>
    <n v="5"/>
    <n v="100"/>
  </r>
  <r>
    <s v="e0487761face83d64fcada2408959a36"/>
    <x v="0"/>
    <n v="2"/>
    <n v="2"/>
    <n v="64.12"/>
    <n v="4.5"/>
    <n v="100"/>
  </r>
  <r>
    <s v="8629a7efec1aab257e58cda559f03ba7"/>
    <x v="12"/>
    <n v="1"/>
    <n v="1"/>
    <n v="64.11"/>
    <n v="1"/>
    <n v="0"/>
  </r>
  <r>
    <s v="2ef086a599b597572aca4433b7ed6b3d"/>
    <x v="6"/>
    <n v="1"/>
    <n v="1"/>
    <n v="64.099999999999994"/>
    <n v="5"/>
    <n v="100"/>
  </r>
  <r>
    <s v="539ed9e19811677513447759be5eccfc"/>
    <x v="3"/>
    <n v="2"/>
    <n v="2"/>
    <n v="63.92"/>
    <n v="3"/>
    <n v="100"/>
  </r>
  <r>
    <s v="5cf1ec37aea089f45110c70653a166ab"/>
    <x v="0"/>
    <n v="2"/>
    <n v="2"/>
    <n v="63.58"/>
    <n v="5"/>
    <n v="100"/>
  </r>
  <r>
    <s v="ce33c6211beaa8fef4cae8b52db39862"/>
    <x v="0"/>
    <n v="1"/>
    <n v="1"/>
    <n v="63.52"/>
    <n v="3"/>
    <n v="100"/>
  </r>
  <r>
    <s v="51e0557bc7b86de13e946c60ee91ce39"/>
    <x v="3"/>
    <n v="1"/>
    <n v="1"/>
    <n v="63.4"/>
    <n v="5"/>
    <n v="100"/>
  </r>
  <r>
    <s v="d85efbc8eff2b7adf524e2820569adc8"/>
    <x v="0"/>
    <n v="1"/>
    <n v="1"/>
    <n v="63.29"/>
    <n v="5"/>
    <n v="100"/>
  </r>
  <r>
    <s v="70c0fda4c313d87115644d39e62eec60"/>
    <x v="5"/>
    <n v="1"/>
    <n v="1"/>
    <n v="63.08"/>
    <n v="5"/>
    <n v="100"/>
  </r>
  <r>
    <s v="6c9875b2f94ba781186f0c1aed8d1687"/>
    <x v="0"/>
    <n v="2"/>
    <n v="4"/>
    <n v="63.05"/>
    <n v="5"/>
    <n v="100"/>
  </r>
  <r>
    <s v="7494d0dcba8551df6cf37f1b905dc2f7"/>
    <x v="0"/>
    <n v="1"/>
    <n v="1"/>
    <n v="62.97"/>
    <n v="3"/>
    <n v="100"/>
  </r>
  <r>
    <s v="0b1ca3ef18a63d7eb0c8897fa0849c08"/>
    <x v="0"/>
    <n v="1"/>
    <n v="1"/>
    <n v="62.87"/>
    <n v="5"/>
    <n v="100"/>
  </r>
  <r>
    <s v="513a54369b6a8a6602fcb0e129c6d78d"/>
    <x v="0"/>
    <n v="2"/>
    <n v="2"/>
    <n v="62.66"/>
    <n v="4.5"/>
    <n v="100"/>
  </r>
  <r>
    <s v="3ded4e2d5f135cb103e5949d7263d2dd"/>
    <x v="3"/>
    <n v="1"/>
    <n v="1"/>
    <n v="62.38"/>
    <n v="5"/>
    <n v="100"/>
  </r>
  <r>
    <s v="d4828feed4cda2cd9d6b37899a95a71e"/>
    <x v="14"/>
    <n v="1"/>
    <n v="1"/>
    <n v="62.11"/>
    <n v="2"/>
    <n v="100"/>
  </r>
  <r>
    <s v="d297f1055de2956aedfd3b04113dce3e"/>
    <x v="0"/>
    <n v="1"/>
    <n v="1"/>
    <n v="61.94"/>
    <n v="4"/>
    <n v="100"/>
  </r>
  <r>
    <s v="749e7cdabbaf72f16677859e27874ba5"/>
    <x v="0"/>
    <n v="1"/>
    <n v="1"/>
    <n v="61.74"/>
    <n v="1"/>
    <n v="100"/>
  </r>
  <r>
    <s v="417a1e6c7321084d2a0ae0d023cfad93"/>
    <x v="8"/>
    <n v="1"/>
    <n v="1"/>
    <n v="61.38"/>
    <n v="5"/>
    <n v="100"/>
  </r>
  <r>
    <s v="4125d9385a25e82d2f72d3a0fd55bc3f"/>
    <x v="0"/>
    <n v="1"/>
    <n v="1"/>
    <n v="61.3"/>
    <n v="5"/>
    <n v="100"/>
  </r>
  <r>
    <s v="d4f91e8be86b38da2ee35bc489645a9d"/>
    <x v="0"/>
    <n v="1"/>
    <n v="1"/>
    <n v="61.16"/>
    <n v="5"/>
    <n v="100"/>
  </r>
  <r>
    <s v="16bdc8cefd0e32a6f0824d296c5ad14a"/>
    <x v="0"/>
    <n v="1"/>
    <n v="1"/>
    <n v="61.08"/>
    <n v="5"/>
    <n v="100"/>
  </r>
  <r>
    <s v="9315e491484b1b0081ca166fc164108d"/>
    <x v="4"/>
    <n v="1"/>
    <n v="1"/>
    <n v="60.4"/>
    <n v="3"/>
    <n v="100"/>
  </r>
  <r>
    <s v="cad10cc982ab6a391570c211b995c17c"/>
    <x v="0"/>
    <n v="1"/>
    <n v="1"/>
    <n v="60.19"/>
    <n v="5"/>
    <n v="100"/>
  </r>
  <r>
    <s v="ae9690c6e8fee182c28c9ff8e11ca52c"/>
    <x v="0"/>
    <n v="1"/>
    <n v="1"/>
    <n v="59.81"/>
    <n v="5"/>
    <n v="100"/>
  </r>
  <r>
    <s v="05a48cc8859962767935ab9087417fbb"/>
    <x v="0"/>
    <n v="1"/>
    <n v="1"/>
    <n v="59.39"/>
    <n v="5"/>
    <n v="100"/>
  </r>
  <r>
    <s v="edb58a1390adf273840030a3d6253829"/>
    <x v="0"/>
    <n v="1"/>
    <n v="1"/>
    <n v="58.28"/>
    <n v="5"/>
    <n v="100"/>
  </r>
  <r>
    <s v="84deb808079d1be601c209c1e771b1cc"/>
    <x v="4"/>
    <n v="2"/>
    <n v="2"/>
    <n v="58.14"/>
    <n v="5"/>
    <n v="100"/>
  </r>
  <r>
    <s v="535bf14f36346c7f59d87cece104d70c"/>
    <x v="2"/>
    <n v="1"/>
    <n v="1"/>
    <n v="57.77"/>
    <n v="4"/>
    <n v="100"/>
  </r>
  <r>
    <s v="da3fede3469bf49b7293ce3fc45b294d"/>
    <x v="0"/>
    <n v="1"/>
    <n v="1"/>
    <n v="57.69"/>
    <n v="5"/>
    <n v="100"/>
  </r>
  <r>
    <s v="2c00c85d30361cd2ced2969cffbbffa3"/>
    <x v="3"/>
    <n v="1"/>
    <n v="1"/>
    <n v="57.51"/>
    <n v="5"/>
    <n v="100"/>
  </r>
  <r>
    <s v="e5545d4d4473876ea78c5bcebca365c3"/>
    <x v="0"/>
    <n v="1"/>
    <n v="1"/>
    <n v="57.47"/>
    <n v="5"/>
    <n v="100"/>
  </r>
  <r>
    <s v="1f7dfad2cb384ea4d2d7e1ffbd78c407"/>
    <x v="0"/>
    <n v="1"/>
    <n v="1"/>
    <n v="57.29"/>
    <n v="1"/>
    <n v="100"/>
  </r>
  <r>
    <s v="e595809a6c31ec4314fd06ef198c244d"/>
    <x v="6"/>
    <n v="1"/>
    <n v="1"/>
    <n v="57.23"/>
    <n v="5"/>
    <n v="100"/>
  </r>
  <r>
    <s v="d63f306de130e0391d38a792541723b8"/>
    <x v="0"/>
    <n v="1"/>
    <n v="1"/>
    <n v="56.6"/>
    <n v="5"/>
    <n v="100"/>
  </r>
  <r>
    <s v="15b3b1b81484422eb41df68ac87f1f50"/>
    <x v="0"/>
    <n v="1"/>
    <n v="1"/>
    <n v="56.04"/>
    <n v="1"/>
    <n v="100"/>
  </r>
  <r>
    <s v="2d8cfba3fcd3170555941605edaa196a"/>
    <x v="0"/>
    <n v="1"/>
    <n v="1"/>
    <n v="55.96"/>
    <n v="5"/>
    <n v="100"/>
  </r>
  <r>
    <s v="df683dfda87bf71ac3fc63063fba369d"/>
    <x v="8"/>
    <n v="1"/>
    <n v="1"/>
    <n v="55.95"/>
    <n v="1"/>
    <n v="0"/>
  </r>
  <r>
    <s v="a213f1bd6458f4a158f3746cb2514559"/>
    <x v="4"/>
    <n v="1"/>
    <n v="1"/>
    <n v="55.95"/>
    <n v="5"/>
    <n v="100"/>
  </r>
  <r>
    <s v="c74f14c1e26cf1bd5bd34b6a1e274426"/>
    <x v="6"/>
    <n v="1"/>
    <n v="1"/>
    <n v="55.79"/>
    <n v="5"/>
    <n v="100"/>
  </r>
  <r>
    <s v="baf15155e37ef5492731459bdc05be8a"/>
    <x v="0"/>
    <n v="1"/>
    <n v="1"/>
    <n v="55.72"/>
    <n v="5"/>
    <n v="100"/>
  </r>
  <r>
    <s v="e72b4feb7abe210c52aa667abc25a3a2"/>
    <x v="0"/>
    <n v="1"/>
    <n v="2"/>
    <n v="55.64"/>
    <n v="5"/>
    <n v="100"/>
  </r>
  <r>
    <s v="8b181ee5518df84f18f4e1a43fe07923"/>
    <x v="0"/>
    <n v="1"/>
    <n v="1"/>
    <n v="54.98"/>
    <n v="5"/>
    <n v="100"/>
  </r>
  <r>
    <s v="3d62f86afa7c73be2628a3be1423f5a0"/>
    <x v="0"/>
    <n v="2"/>
    <n v="2"/>
    <n v="54.42"/>
    <n v="4"/>
    <n v="100"/>
  </r>
  <r>
    <s v="7f02656561b680def9986c0795a8a080"/>
    <x v="0"/>
    <n v="1"/>
    <n v="1"/>
    <n v="53.85"/>
    <n v="5"/>
    <n v="100"/>
  </r>
  <r>
    <s v="70ee69419916dc13e3aed619061f996c"/>
    <x v="0"/>
    <n v="1"/>
    <n v="1"/>
    <n v="53.72"/>
    <n v="3"/>
    <n v="100"/>
  </r>
  <r>
    <s v="9558aa23f77a9e0a0eca83540999f43b"/>
    <x v="4"/>
    <n v="1"/>
    <n v="1"/>
    <n v="53.52"/>
    <n v="5"/>
    <n v="100"/>
  </r>
  <r>
    <s v="1f2eebc0e970fd3c463e4f5d9652687a"/>
    <x v="0"/>
    <n v="1"/>
    <n v="1"/>
    <n v="53.47"/>
    <n v="5"/>
    <n v="0"/>
  </r>
  <r>
    <s v="eb4a59a06b3948e851a7d7a830bcbc42"/>
    <x v="1"/>
    <n v="1"/>
    <n v="1"/>
    <n v="53.15"/>
    <n v="5"/>
    <n v="100"/>
  </r>
  <r>
    <s v="3a52d63a8f9daf5a28f3626d7eb9bd28"/>
    <x v="0"/>
    <n v="1"/>
    <n v="1"/>
    <n v="52.78"/>
    <n v="1"/>
    <n v="100"/>
  </r>
  <r>
    <s v="bb7ad8a45c027be8ab075b8e465f8ca0"/>
    <x v="6"/>
    <n v="2"/>
    <n v="2"/>
    <n v="52.62"/>
    <n v="5"/>
    <n v="100"/>
  </r>
  <r>
    <s v="2c54051840f19eca309a5423cf22df36"/>
    <x v="4"/>
    <n v="2"/>
    <n v="2"/>
    <n v="52.27"/>
    <n v="4.5"/>
    <n v="100"/>
  </r>
  <r>
    <s v="4e2627090e6e5b9fabba883a37897683"/>
    <x v="3"/>
    <n v="1"/>
    <n v="1"/>
    <n v="51.62"/>
    <s v="NULL"/>
    <n v="100"/>
  </r>
  <r>
    <s v="c161d1327ebc3a156c09582ab2f59f6c"/>
    <x v="0"/>
    <n v="2"/>
    <n v="2"/>
    <n v="51.55"/>
    <n v="4"/>
    <n v="100"/>
  </r>
  <r>
    <s v="9200e6ce317b67196b6b0bad4d4bd567"/>
    <x v="2"/>
    <n v="1"/>
    <n v="1"/>
    <n v="51.42"/>
    <n v="3"/>
    <n v="100"/>
  </r>
  <r>
    <s v="fedaedd3ca31d56ab33e92035e4b361c"/>
    <x v="2"/>
    <n v="1"/>
    <n v="1"/>
    <n v="50.86"/>
    <n v="4"/>
    <n v="100"/>
  </r>
  <r>
    <s v="999f6d9a1c7c81f43be44c6b7d076210"/>
    <x v="0"/>
    <n v="2"/>
    <n v="2"/>
    <n v="50.83"/>
    <n v="4.5"/>
    <n v="100"/>
  </r>
  <r>
    <s v="630008e0f062605a415d694489f6f82e"/>
    <x v="0"/>
    <n v="1"/>
    <n v="1"/>
    <n v="50.7"/>
    <n v="5"/>
    <n v="100"/>
  </r>
  <r>
    <s v="c716e0b86ed568878475b60fbb6323ad"/>
    <x v="0"/>
    <n v="1"/>
    <n v="1"/>
    <n v="50.23"/>
    <n v="5"/>
    <n v="100"/>
  </r>
  <r>
    <s v="5a32c398a06c345440bf2a683b017ad3"/>
    <x v="2"/>
    <n v="1"/>
    <n v="1"/>
    <n v="50.13"/>
    <n v="5"/>
    <n v="100"/>
  </r>
  <r>
    <s v="baeda7047354773262ba2405f97038ba"/>
    <x v="0"/>
    <n v="1"/>
    <n v="1"/>
    <n v="50.1"/>
    <n v="5"/>
    <n v="100"/>
  </r>
  <r>
    <s v="e0b162a693bc7f9eab00f783a31d60ea"/>
    <x v="8"/>
    <n v="1"/>
    <n v="1"/>
    <n v="49.69"/>
    <n v="5"/>
    <n v="100"/>
  </r>
  <r>
    <s v="6561d6bf844e464b4019442692b40e02"/>
    <x v="0"/>
    <n v="1"/>
    <n v="1"/>
    <n v="49.45"/>
    <n v="5"/>
    <n v="100"/>
  </r>
  <r>
    <s v="cb162c8eef257253782d245c08d9097c"/>
    <x v="0"/>
    <n v="1"/>
    <n v="1"/>
    <n v="49.12"/>
    <n v="5"/>
    <n v="100"/>
  </r>
  <r>
    <s v="c0e6839516f5398edc34adf5f1d53d1a"/>
    <x v="0"/>
    <n v="1"/>
    <n v="1"/>
    <n v="49.04"/>
    <n v="5"/>
    <n v="100"/>
  </r>
  <r>
    <s v="87b4428a334b8f676fd9a7f3bf544fb5"/>
    <x v="0"/>
    <n v="1"/>
    <n v="1"/>
    <n v="48.98"/>
    <n v="5"/>
    <n v="100"/>
  </r>
  <r>
    <s v="3aa3c89ae3cd482385568be76120f63c"/>
    <x v="12"/>
    <n v="1"/>
    <n v="1"/>
    <n v="48.94"/>
    <n v="4"/>
    <n v="100"/>
  </r>
  <r>
    <s v="455f46ef09a9e45667e2981df84b5cc2"/>
    <x v="0"/>
    <n v="1"/>
    <n v="1"/>
    <n v="48.21"/>
    <n v="4"/>
    <n v="100"/>
  </r>
  <r>
    <s v="c2bda99904207edd1834f03e0022b007"/>
    <x v="0"/>
    <n v="1"/>
    <n v="1"/>
    <n v="47.68"/>
    <n v="4"/>
    <n v="100"/>
  </r>
  <r>
    <s v="389e45560e33d2d0747f949dcddbc08e"/>
    <x v="0"/>
    <n v="1"/>
    <n v="1"/>
    <n v="47.43"/>
    <n v="5"/>
    <n v="100"/>
  </r>
  <r>
    <s v="0336182e1b3e92f029d5354832045fdf"/>
    <x v="0"/>
    <n v="1"/>
    <n v="2"/>
    <n v="47.37"/>
    <n v="2"/>
    <n v="100"/>
  </r>
  <r>
    <s v="72c73be2b085b9d57650dd53eb2004c9"/>
    <x v="0"/>
    <n v="1"/>
    <n v="1"/>
    <n v="47.32"/>
    <n v="5"/>
    <n v="100"/>
  </r>
  <r>
    <s v="d7f1cfc638473be93baedbfd02208016"/>
    <x v="2"/>
    <n v="1"/>
    <n v="1"/>
    <n v="47.14"/>
    <n v="5"/>
    <n v="100"/>
  </r>
  <r>
    <s v="28a26ebce31d5918b181ede016fd693b"/>
    <x v="3"/>
    <n v="1"/>
    <n v="1"/>
    <n v="47.04"/>
    <n v="5"/>
    <n v="100"/>
  </r>
  <r>
    <s v="a09a13f18ed27932d08438aa6f12756e"/>
    <x v="8"/>
    <n v="1"/>
    <n v="1"/>
    <n v="46.01"/>
    <n v="3"/>
    <n v="100"/>
  </r>
  <r>
    <s v="32f83ffe11cd40f7adcf4eef171f52d9"/>
    <x v="8"/>
    <n v="1"/>
    <n v="1"/>
    <n v="45.09"/>
    <n v="5"/>
    <n v="100"/>
  </r>
  <r>
    <s v="c43d924a0f1688ee9fae0efcd6f539d4"/>
    <x v="2"/>
    <n v="1"/>
    <n v="1"/>
    <n v="45.01"/>
    <n v="4"/>
    <n v="100"/>
  </r>
  <r>
    <s v="fdf736c18c589ed030e058312203e1b2"/>
    <x v="3"/>
    <n v="1"/>
    <n v="1"/>
    <n v="44.51"/>
    <n v="5"/>
    <n v="100"/>
  </r>
  <r>
    <s v="436bf27f2f18474fc6047702e9f8a866"/>
    <x v="0"/>
    <n v="1"/>
    <n v="1"/>
    <n v="44.42"/>
    <n v="5"/>
    <n v="100"/>
  </r>
  <r>
    <s v="c9d2ba8dde44a275ae06475ed1d2fafc"/>
    <x v="3"/>
    <n v="1"/>
    <n v="1"/>
    <n v="43.31"/>
    <n v="5"/>
    <n v="100"/>
  </r>
  <r>
    <s v="33fd411ed63a7c2f9005e3f065d9f85d"/>
    <x v="8"/>
    <n v="1"/>
    <n v="1"/>
    <n v="43.13"/>
    <n v="4"/>
    <n v="100"/>
  </r>
  <r>
    <s v="b026643914f651e8371425e5b8a1e780"/>
    <x v="2"/>
    <n v="1"/>
    <n v="1"/>
    <n v="43"/>
    <n v="5"/>
    <n v="100"/>
  </r>
  <r>
    <s v="7b3f6ce5c6c22e9b96e7581ebf0df6e1"/>
    <x v="0"/>
    <n v="1"/>
    <n v="1"/>
    <n v="42.49"/>
    <n v="3"/>
    <n v="100"/>
  </r>
  <r>
    <s v="bd43e172d599bed47a85da877172ca8c"/>
    <x v="6"/>
    <n v="1"/>
    <n v="1"/>
    <n v="42.19"/>
    <n v="5"/>
    <n v="100"/>
  </r>
  <r>
    <s v="455befea1bb853c75ccbca94cff26e5c"/>
    <x v="2"/>
    <n v="1"/>
    <n v="1"/>
    <n v="42.05"/>
    <n v="3"/>
    <n v="100"/>
  </r>
  <r>
    <s v="41958cbd3335433c8740300e8cd600d5"/>
    <x v="0"/>
    <n v="1"/>
    <n v="1"/>
    <n v="40.380000000000003"/>
    <n v="5"/>
    <n v="100"/>
  </r>
  <r>
    <s v="3986c0b54f6b748b75e7bd4e092aa3e5"/>
    <x v="4"/>
    <n v="1"/>
    <n v="1"/>
    <n v="40.270000000000003"/>
    <n v="5"/>
    <n v="100"/>
  </r>
  <r>
    <s v="7cb946b1ad19faebe28c3e86c2794ec3"/>
    <x v="3"/>
    <n v="1"/>
    <n v="1"/>
    <n v="40.1"/>
    <n v="5"/>
    <n v="100"/>
  </r>
  <r>
    <s v="7d81e74a4755b552267cd5e081563028"/>
    <x v="0"/>
    <n v="1"/>
    <n v="1"/>
    <n v="39.99"/>
    <n v="4"/>
    <n v="100"/>
  </r>
  <r>
    <s v="bcd2d7510d58e293f20fad6438c1b314"/>
    <x v="4"/>
    <n v="1"/>
    <n v="1"/>
    <n v="39.46"/>
    <s v="NULL"/>
    <n v="0"/>
  </r>
  <r>
    <s v="1c83418358f249c9d6affa52d579db0e"/>
    <x v="0"/>
    <n v="1"/>
    <n v="1"/>
    <n v="39.42"/>
    <n v="5"/>
    <n v="100"/>
  </r>
  <r>
    <s v="544863df86ed3b78a04e0820d41430ee"/>
    <x v="9"/>
    <n v="1"/>
    <n v="1"/>
    <n v="39.17"/>
    <n v="5"/>
    <n v="100"/>
  </r>
  <r>
    <s v="f09b760d23495ac9a7e00d29b769007c"/>
    <x v="0"/>
    <n v="1"/>
    <n v="1"/>
    <n v="39.090000000000003"/>
    <n v="4"/>
    <n v="100"/>
  </r>
  <r>
    <s v="bd65d163ded559eb90a10cd09fec178f"/>
    <x v="0"/>
    <n v="1"/>
    <n v="2"/>
    <n v="38.479999999999997"/>
    <n v="4"/>
    <n v="100"/>
  </r>
  <r>
    <s v="a61cc04793308395a840807104365121"/>
    <x v="0"/>
    <n v="1"/>
    <n v="1"/>
    <n v="38.369999999999997"/>
    <n v="5"/>
    <n v="100"/>
  </r>
  <r>
    <s v="139157dd4daa45c25b0807ffff348363"/>
    <x v="0"/>
    <n v="1"/>
    <n v="1"/>
    <n v="37.68"/>
    <n v="4"/>
    <n v="100"/>
  </r>
  <r>
    <s v="c0e0b73d039eb9a99b6ce4cb7a429cd3"/>
    <x v="6"/>
    <n v="1"/>
    <n v="1"/>
    <n v="37.56"/>
    <n v="5"/>
    <n v="100"/>
  </r>
  <r>
    <s v="9d69ba0a7a626a64dc5db08e529559cf"/>
    <x v="0"/>
    <n v="1"/>
    <n v="1"/>
    <n v="37.54"/>
    <n v="5"/>
    <n v="100"/>
  </r>
  <r>
    <s v="cad9969167c09b48ae6f1d123f7fa68d"/>
    <x v="3"/>
    <n v="1"/>
    <n v="1"/>
    <n v="37.51"/>
    <n v="5"/>
    <n v="100"/>
  </r>
  <r>
    <s v="82921991ff5b557b045605b8bbf08d49"/>
    <x v="0"/>
    <n v="1"/>
    <n v="1"/>
    <n v="37.130000000000003"/>
    <n v="5"/>
    <n v="100"/>
  </r>
  <r>
    <s v="34675b28b826facfde119785bf287dc1"/>
    <x v="4"/>
    <n v="1"/>
    <n v="1"/>
    <n v="37.090000000000003"/>
    <n v="4"/>
    <n v="100"/>
  </r>
  <r>
    <s v="38f276ca6e7cc95a6d1bb55ac9e5550f"/>
    <x v="0"/>
    <n v="1"/>
    <n v="1"/>
    <n v="36.840000000000003"/>
    <n v="5"/>
    <n v="100"/>
  </r>
  <r>
    <s v="98f52e1020fe788c10c0418de4393fec"/>
    <x v="2"/>
    <n v="1"/>
    <n v="1"/>
    <n v="36.700000000000003"/>
    <n v="4"/>
    <n v="100"/>
  </r>
  <r>
    <s v="c97aa4ee7420f937da13b7f9e2228b99"/>
    <x v="8"/>
    <n v="1"/>
    <n v="1"/>
    <n v="36.56"/>
    <n v="1"/>
    <n v="100"/>
  </r>
  <r>
    <s v="b2f4d63c7203f539a78252565ca32257"/>
    <x v="2"/>
    <n v="1"/>
    <n v="1"/>
    <n v="35.74"/>
    <n v="5"/>
    <n v="100"/>
  </r>
  <r>
    <s v="b77a27b1864483e721dc831d5ba4afa0"/>
    <x v="2"/>
    <n v="1"/>
    <n v="1"/>
    <n v="35.42"/>
    <n v="5"/>
    <n v="100"/>
  </r>
  <r>
    <s v="698624c6632eeba1774924dbea24c700"/>
    <x v="0"/>
    <n v="1"/>
    <n v="1"/>
    <n v="35.130000000000003"/>
    <n v="5"/>
    <n v="100"/>
  </r>
  <r>
    <s v="c12d7463a579237ffb9248bd7cff378b"/>
    <x v="0"/>
    <n v="1"/>
    <n v="1"/>
    <n v="34.619999999999997"/>
    <n v="4"/>
    <n v="100"/>
  </r>
  <r>
    <s v="f1fdf2d13186575751aa25876536d85c"/>
    <x v="0"/>
    <n v="1"/>
    <n v="1"/>
    <n v="34.590000000000003"/>
    <n v="5"/>
    <n v="100"/>
  </r>
  <r>
    <s v="87f3e35268860433e13d577825aada95"/>
    <x v="0"/>
    <n v="1"/>
    <n v="1"/>
    <n v="34.42"/>
    <s v="NULL"/>
    <n v="100"/>
  </r>
  <r>
    <s v="bac44fa8e13424950488659b5f765c41"/>
    <x v="0"/>
    <n v="1"/>
    <n v="1"/>
    <n v="34.42"/>
    <n v="5"/>
    <n v="100"/>
  </r>
  <r>
    <s v="e76ecc7e9a1a1e3c6df9d2a8261c423d"/>
    <x v="3"/>
    <n v="1"/>
    <n v="1"/>
    <n v="34.1"/>
    <n v="5"/>
    <n v="100"/>
  </r>
  <r>
    <s v="d93b8458c6fe139d85cfa5eadbf55bd2"/>
    <x v="0"/>
    <n v="1"/>
    <n v="1"/>
    <n v="34"/>
    <n v="5"/>
    <n v="100"/>
  </r>
  <r>
    <s v="804287717b9156fb7a787acd9af4fac1"/>
    <x v="4"/>
    <n v="1"/>
    <n v="1"/>
    <n v="33.9"/>
    <n v="5"/>
    <n v="100"/>
  </r>
  <r>
    <s v="0bb27263628258b8111a0262769fa9db"/>
    <x v="0"/>
    <n v="1"/>
    <n v="1"/>
    <n v="33.159999999999997"/>
    <n v="5"/>
    <n v="100"/>
  </r>
  <r>
    <s v="13e85aac53340018b40c2af68001b7e0"/>
    <x v="0"/>
    <n v="1"/>
    <n v="1"/>
    <n v="31.92"/>
    <n v="5"/>
    <n v="100"/>
  </r>
  <r>
    <s v="fb503a924a0b9db19d83dd0ac6dbef8c"/>
    <x v="8"/>
    <n v="1"/>
    <n v="1"/>
    <n v="31.82"/>
    <n v="5"/>
    <n v="100"/>
  </r>
  <r>
    <s v="c1d1ebb4745cc43cb6f05e9c8a705c9a"/>
    <x v="0"/>
    <n v="1"/>
    <n v="1"/>
    <n v="31.71"/>
    <n v="1"/>
    <n v="0"/>
  </r>
  <r>
    <s v="6c77cd583b36a13aacccf2b3ee23e233"/>
    <x v="0"/>
    <n v="1"/>
    <n v="1"/>
    <n v="31.69"/>
    <n v="5"/>
    <n v="100"/>
  </r>
  <r>
    <s v="ce4755084bc097113867e6454f8f5e52"/>
    <x v="0"/>
    <n v="1"/>
    <n v="1"/>
    <n v="31.69"/>
    <n v="5"/>
    <n v="100"/>
  </r>
  <r>
    <s v="eb1bf309f4f6af9a97e9ddac3fdbeabe"/>
    <x v="0"/>
    <n v="1"/>
    <n v="1"/>
    <n v="31.18"/>
    <n v="5"/>
    <n v="100"/>
  </r>
  <r>
    <s v="6bcb2352a2a0c38b845f598298ab9d26"/>
    <x v="4"/>
    <n v="1"/>
    <n v="1"/>
    <n v="31"/>
    <n v="5"/>
    <n v="100"/>
  </r>
  <r>
    <s v="0b46f784306be7200ca1700aa55d819f"/>
    <x v="3"/>
    <n v="1"/>
    <n v="1"/>
    <n v="30.86"/>
    <n v="5"/>
    <n v="100"/>
  </r>
  <r>
    <s v="bc8c8d665ec4664d286be0d521722b19"/>
    <x v="0"/>
    <n v="1"/>
    <n v="1"/>
    <n v="30.82"/>
    <n v="2"/>
    <n v="0"/>
  </r>
  <r>
    <s v="5e063e85d44b0f5c3e6ec3131103a57e"/>
    <x v="0"/>
    <n v="1"/>
    <n v="1"/>
    <n v="30.32"/>
    <n v="5"/>
    <n v="100"/>
  </r>
  <r>
    <s v="ed49da7cadefc454d6a67de249eab240"/>
    <x v="0"/>
    <n v="1"/>
    <n v="1"/>
    <n v="30.22"/>
    <n v="5"/>
    <n v="100"/>
  </r>
  <r>
    <s v="c3e2398fcc7e581cda2e546557bf6968"/>
    <x v="0"/>
    <n v="1"/>
    <n v="1"/>
    <n v="30.13"/>
    <n v="5"/>
    <n v="100"/>
  </r>
  <r>
    <s v="20f0aeea30bc3b8c4420be8ced4226c0"/>
    <x v="0"/>
    <n v="1"/>
    <n v="1"/>
    <n v="29.42"/>
    <s v="NULL"/>
    <n v="0"/>
  </r>
  <r>
    <s v="f9f68daa2af419d38f745478bcb3da1a"/>
    <x v="0"/>
    <n v="1"/>
    <n v="1"/>
    <n v="29.2"/>
    <n v="5"/>
    <n v="100"/>
  </r>
  <r>
    <s v="f3862c2188522d89860c38a3ea8b550d"/>
    <x v="0"/>
    <n v="1"/>
    <n v="1"/>
    <n v="28.29"/>
    <n v="5"/>
    <n v="100"/>
  </r>
  <r>
    <s v="e64ddbe1cbcf4f2fc3092b7c481f3f9d"/>
    <x v="0"/>
    <n v="1"/>
    <n v="1"/>
    <n v="28.29"/>
    <n v="5"/>
    <n v="100"/>
  </r>
  <r>
    <s v="95cca791657aabeff15a07eb152d7841"/>
    <x v="4"/>
    <n v="1"/>
    <n v="1"/>
    <n v="28.22"/>
    <n v="5"/>
    <n v="100"/>
  </r>
  <r>
    <s v="668bf321538e5072858eaef6087ce027"/>
    <x v="4"/>
    <n v="1"/>
    <n v="1"/>
    <n v="28.01"/>
    <n v="5"/>
    <n v="100"/>
  </r>
  <r>
    <s v="bee36b4f9a2b9fdcaff6ec05df202ed0"/>
    <x v="0"/>
    <n v="1"/>
    <n v="1"/>
    <n v="27.86"/>
    <n v="5"/>
    <n v="100"/>
  </r>
  <r>
    <s v="344223b2a90784f64136a8a5da012e7f"/>
    <x v="6"/>
    <n v="1"/>
    <n v="1"/>
    <n v="27.69"/>
    <n v="2"/>
    <n v="100"/>
  </r>
  <r>
    <s v="7caa63f175b1cecbfaadd8b5ab9998c7"/>
    <x v="0"/>
    <n v="1"/>
    <n v="1"/>
    <n v="27.64"/>
    <n v="1"/>
    <n v="100"/>
  </r>
  <r>
    <s v="0f94588695d71662beec8d883ffacf09"/>
    <x v="6"/>
    <n v="1"/>
    <n v="1"/>
    <n v="27.59"/>
    <n v="5"/>
    <n v="100"/>
  </r>
  <r>
    <s v="9e25199f6ef7e7c347120ff175652c3b"/>
    <x v="0"/>
    <n v="1"/>
    <n v="1"/>
    <n v="27.02"/>
    <n v="4"/>
    <n v="100"/>
  </r>
  <r>
    <s v="eae9af4811c294c56795d70e715b7337"/>
    <x v="0"/>
    <n v="1"/>
    <n v="1"/>
    <n v="27.01"/>
    <n v="5"/>
    <n v="100"/>
  </r>
  <r>
    <s v="20d53aad4fe5ee93a64f8839609d3586"/>
    <x v="3"/>
    <n v="1"/>
    <n v="1"/>
    <n v="26.98"/>
    <n v="1"/>
    <n v="0"/>
  </r>
  <r>
    <s v="6614814a00d344b846ae209f95ee7e3f"/>
    <x v="0"/>
    <n v="1"/>
    <n v="1"/>
    <n v="25.69"/>
    <n v="1"/>
    <n v="100"/>
  </r>
  <r>
    <s v="5b92bfa4120daa27c574daa2e386c693"/>
    <x v="0"/>
    <n v="1"/>
    <n v="1"/>
    <n v="24.96"/>
    <n v="3"/>
    <n v="100"/>
  </r>
  <r>
    <s v="c18309219e789960add0b2255ca4b091"/>
    <x v="2"/>
    <n v="1"/>
    <n v="1"/>
    <n v="24"/>
    <n v="5"/>
    <n v="100"/>
  </r>
  <r>
    <s v="7ab0dd5487bab2dc835337b244f689fb"/>
    <x v="0"/>
    <n v="1"/>
    <n v="1"/>
    <n v="23.46"/>
    <n v="5"/>
    <n v="100"/>
  </r>
  <r>
    <s v="b5f0712d22a873b6797ab6cc65c3fcba"/>
    <x v="0"/>
    <n v="1"/>
    <n v="1"/>
    <n v="21.28"/>
    <n v="4"/>
    <n v="100"/>
  </r>
  <r>
    <s v="cc1f04647be106ba74e62b21f358af25"/>
    <x v="0"/>
    <n v="1"/>
    <n v="1"/>
    <n v="20.190000000000001"/>
    <n v="1"/>
    <n v="100"/>
  </r>
  <r>
    <s v="c1dde11f12d05c478f5de2d7319ad3b2"/>
    <x v="0"/>
    <n v="1"/>
    <n v="1"/>
    <n v="19.89"/>
    <n v="1"/>
    <n v="100"/>
  </r>
  <r>
    <s v="ab75b89cc49c9ab3160d0c91565a442a"/>
    <x v="0"/>
    <n v="1"/>
    <n v="1"/>
    <n v="19.739999999999998"/>
    <n v="1"/>
    <n v="100"/>
  </r>
  <r>
    <s v="3ac588cd562971392504a9e17130c40b"/>
    <x v="0"/>
    <n v="1"/>
    <n v="1"/>
    <n v="19.29"/>
    <n v="5"/>
    <n v="100"/>
  </r>
  <r>
    <s v="ad14615bdd492b01b0d97922e87cb87f"/>
    <x v="6"/>
    <n v="1"/>
    <n v="1"/>
    <n v="19.21"/>
    <n v="5"/>
    <n v="100"/>
  </r>
  <r>
    <s v="702835e4b785b67a084280efca355756"/>
    <x v="3"/>
    <n v="1"/>
    <n v="1"/>
    <n v="18.559999999999999"/>
    <n v="5"/>
    <n v="100"/>
  </r>
  <r>
    <s v="4965a7002cca77301c82d3f91b82e1a9"/>
    <x v="0"/>
    <n v="1"/>
    <n v="1"/>
    <n v="16.36"/>
    <n v="5"/>
    <n v="100"/>
  </r>
  <r>
    <s v="1fa2d3def6adfa70e58c276bb64fe5bb"/>
    <x v="0"/>
    <n v="1"/>
    <n v="1"/>
    <n v="15.9"/>
    <n v="1"/>
    <n v="100"/>
  </r>
  <r>
    <s v="77128dec4bec4878c37ab7d6169d6f26"/>
    <x v="0"/>
    <n v="1"/>
    <n v="1"/>
    <n v="15.22"/>
    <n v="5"/>
    <n v="1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26C94B-6061-42B0-894F-1D108934FF4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26" firstHeaderRow="1" firstDataRow="1" firstDataCol="1"/>
  <pivotFields count="7">
    <pivotField showAll="0"/>
    <pivotField axis="axisRow" showAll="0">
      <items count="23">
        <item x="20"/>
        <item x="1"/>
        <item x="14"/>
        <item x="10"/>
        <item x="9"/>
        <item x="12"/>
        <item x="7"/>
        <item x="3"/>
        <item x="16"/>
        <item x="13"/>
        <item x="19"/>
        <item x="11"/>
        <item x="5"/>
        <item x="18"/>
        <item x="4"/>
        <item x="2"/>
        <item x="15"/>
        <item x="17"/>
        <item x="8"/>
        <item x="6"/>
        <item x="21"/>
        <item x="0"/>
        <item t="default"/>
      </items>
    </pivotField>
    <pivotField showAll="0"/>
    <pivotField showAll="0"/>
    <pivotField dataField="1" showAll="0"/>
    <pivotField showAll="0"/>
    <pivotField showAll="0"/>
  </pivotFields>
  <rowFields count="1">
    <field x="1"/>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revenue"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7E5CA3-BDF5-42F8-90B6-20BE1BADBA1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0:B53" firstHeaderRow="1" firstDataRow="1" firstDataCol="1"/>
  <pivotFields count="7">
    <pivotField showAll="0"/>
    <pivotField axis="axisRow" showAll="0">
      <items count="23">
        <item x="20"/>
        <item x="1"/>
        <item x="14"/>
        <item x="10"/>
        <item x="9"/>
        <item x="12"/>
        <item x="7"/>
        <item x="3"/>
        <item x="16"/>
        <item x="13"/>
        <item x="19"/>
        <item x="11"/>
        <item x="5"/>
        <item x="18"/>
        <item x="4"/>
        <item x="2"/>
        <item x="15"/>
        <item x="17"/>
        <item x="8"/>
        <item x="6"/>
        <item x="21"/>
        <item x="0"/>
        <item t="default"/>
      </items>
    </pivotField>
    <pivotField showAll="0"/>
    <pivotField showAll="0"/>
    <pivotField showAll="0"/>
    <pivotField dataField="1" showAll="0"/>
    <pivotField showAll="0"/>
  </pivotFields>
  <rowFields count="1">
    <field x="1"/>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Average of avg_review_score" fld="5" subtotal="average"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_state" xr10:uid="{E5E97B87-8EFA-44A8-A60C-DEC2FA12C5D2}" sourceName="seller_state">
  <pivotTables>
    <pivotTable tabId="11" name="PivotTable1"/>
    <pivotTable tabId="11" name="PivotTable3"/>
  </pivotTables>
  <data>
    <tabular pivotCacheId="53894499">
      <items count="22">
        <i x="20" s="1"/>
        <i x="1" s="1"/>
        <i x="14" s="1"/>
        <i x="10" s="1"/>
        <i x="9" s="1"/>
        <i x="12" s="1"/>
        <i x="7" s="1"/>
        <i x="3" s="1"/>
        <i x="16" s="1"/>
        <i x="13" s="1"/>
        <i x="19" s="1"/>
        <i x="11" s="1"/>
        <i x="5" s="1"/>
        <i x="18" s="1"/>
        <i x="4" s="1"/>
        <i x="2" s="1"/>
        <i x="15" s="1"/>
        <i x="17" s="1"/>
        <i x="8" s="1"/>
        <i x="6" s="1"/>
        <i x="2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ler_state" xr10:uid="{1018BA5B-DB2C-4BDB-8036-D3A38AB45678}" cache="Slicer_seller_state" caption="seller_state" startItem="18" rowHeight="251883"/>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Damask">
      <a:dk1>
        <a:sysClr val="windowText" lastClr="000000"/>
      </a:dk1>
      <a:lt1>
        <a:sysClr val="window" lastClr="FFFFFF"/>
      </a:lt1>
      <a:dk2>
        <a:srgbClr val="2A5B7F"/>
      </a:dk2>
      <a:lt2>
        <a:srgbClr val="ABDAFC"/>
      </a:lt2>
      <a:accent1>
        <a:srgbClr val="9EC544"/>
      </a:accent1>
      <a:accent2>
        <a:srgbClr val="50BEA3"/>
      </a:accent2>
      <a:accent3>
        <a:srgbClr val="4A9CCC"/>
      </a:accent3>
      <a:accent4>
        <a:srgbClr val="9A66CA"/>
      </a:accent4>
      <a:accent5>
        <a:srgbClr val="C54F71"/>
      </a:accent5>
      <a:accent6>
        <a:srgbClr val="DE9C3C"/>
      </a:accent6>
      <a:hlink>
        <a:srgbClr val="6BA9DA"/>
      </a:hlink>
      <a:folHlink>
        <a:srgbClr val="A0BCD3"/>
      </a:folHlink>
    </a:clrScheme>
    <a:fontScheme name="Damask">
      <a:majorFont>
        <a:latin typeface="Bookman Old Style" panose="02050604050505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amask">
      <a:fillStyleLst>
        <a:solidFill>
          <a:schemeClr val="phClr"/>
        </a:solidFill>
        <a:gradFill rotWithShape="1">
          <a:gsLst>
            <a:gs pos="0">
              <a:schemeClr val="phClr">
                <a:tint val="48000"/>
                <a:satMod val="105000"/>
                <a:lumMod val="110000"/>
              </a:schemeClr>
            </a:gs>
            <a:gs pos="100000">
              <a:schemeClr val="phClr">
                <a:tint val="78000"/>
                <a:satMod val="109000"/>
                <a:lumMod val="100000"/>
              </a:schemeClr>
            </a:gs>
          </a:gsLst>
          <a:lin ang="5400000" scaled="0"/>
        </a:gradFill>
        <a:gradFill rotWithShape="1">
          <a:gsLst>
            <a:gs pos="0">
              <a:schemeClr val="phClr">
                <a:tint val="94000"/>
                <a:satMod val="100000"/>
                <a:lumMod val="104000"/>
              </a:schemeClr>
            </a:gs>
            <a:gs pos="69000">
              <a:schemeClr val="phClr">
                <a:shade val="86000"/>
                <a:satMod val="130000"/>
                <a:lumMod val="102000"/>
              </a:schemeClr>
            </a:gs>
            <a:gs pos="100000">
              <a:schemeClr val="phClr">
                <a:shade val="72000"/>
                <a:satMod val="130000"/>
                <a:lum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38100" dir="5400000" sy="96000" rotWithShape="0">
              <a:srgbClr val="000000">
                <a:alpha val="54000"/>
              </a:srgbClr>
            </a:outerShdw>
          </a:effectLst>
        </a:effectStyle>
        <a:effectStyle>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name="Damask" id="{F9A299A0-33D0-4E0F-9F3F-7163E3744208}" vid="{746EEEEA-FB6A-406B-B510-531588D54811}"/>
    </a:ext>
  </a:extLst>
</a:theme>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BCAF1-7892-428C-9881-8BF051BFB34F}">
  <dimension ref="A1:G2971"/>
  <sheetViews>
    <sheetView workbookViewId="0">
      <selection activeCell="B2" sqref="B2"/>
    </sheetView>
  </sheetViews>
  <sheetFormatPr defaultRowHeight="14.5" x14ac:dyDescent="0.3"/>
  <cols>
    <col min="1" max="1" width="33.33203125" customWidth="1"/>
    <col min="2" max="2" width="10.25" customWidth="1"/>
    <col min="3" max="3" width="5.9140625" customWidth="1"/>
    <col min="4" max="4" width="9.5" customWidth="1"/>
    <col min="5" max="5" width="9.75" customWidth="1"/>
    <col min="6" max="6" width="14.9140625" customWidth="1"/>
    <col min="7" max="7" width="10.6640625" customWidth="1"/>
  </cols>
  <sheetData>
    <row r="1" spans="1:7" ht="14" x14ac:dyDescent="0.3">
      <c r="A1" t="s">
        <v>0</v>
      </c>
      <c r="B1" t="s">
        <v>1</v>
      </c>
      <c r="C1" t="s">
        <v>2</v>
      </c>
      <c r="D1" t="s">
        <v>3</v>
      </c>
      <c r="E1" t="s">
        <v>4</v>
      </c>
      <c r="F1" t="s">
        <v>5</v>
      </c>
      <c r="G1" t="s">
        <v>6</v>
      </c>
    </row>
    <row r="2" spans="1:7" ht="14" x14ac:dyDescent="0.3">
      <c r="A2" t="s">
        <v>7</v>
      </c>
      <c r="B2" t="s">
        <v>8</v>
      </c>
      <c r="C2">
        <v>1124</v>
      </c>
      <c r="D2">
        <v>1148</v>
      </c>
      <c r="E2">
        <v>247007.06</v>
      </c>
      <c r="F2">
        <v>4.1399999999999997</v>
      </c>
      <c r="G2">
        <v>89.5</v>
      </c>
    </row>
    <row r="3" spans="1:7" ht="14" x14ac:dyDescent="0.3">
      <c r="A3" t="s">
        <v>9</v>
      </c>
      <c r="B3" t="s">
        <v>8</v>
      </c>
      <c r="C3">
        <v>973</v>
      </c>
      <c r="D3">
        <v>1355</v>
      </c>
      <c r="E3">
        <v>237806.69</v>
      </c>
      <c r="F3">
        <v>3.35</v>
      </c>
      <c r="G3">
        <v>91.1</v>
      </c>
    </row>
    <row r="4" spans="1:7" ht="14" x14ac:dyDescent="0.3">
      <c r="A4" t="s">
        <v>10</v>
      </c>
      <c r="B4" t="s">
        <v>8</v>
      </c>
      <c r="C4">
        <v>1772</v>
      </c>
      <c r="D4">
        <v>1949</v>
      </c>
      <c r="E4">
        <v>231220.43</v>
      </c>
      <c r="F4">
        <v>3.83</v>
      </c>
      <c r="G4">
        <v>90.3</v>
      </c>
    </row>
    <row r="5" spans="1:7" ht="14" x14ac:dyDescent="0.3">
      <c r="A5" t="s">
        <v>11</v>
      </c>
      <c r="B5" t="s">
        <v>12</v>
      </c>
      <c r="C5">
        <v>348</v>
      </c>
      <c r="D5">
        <v>400</v>
      </c>
      <c r="E5">
        <v>230797.02</v>
      </c>
      <c r="F5">
        <v>4.13</v>
      </c>
      <c r="G5">
        <v>97</v>
      </c>
    </row>
    <row r="6" spans="1:7" ht="14" x14ac:dyDescent="0.3">
      <c r="A6" t="s">
        <v>13</v>
      </c>
      <c r="B6" t="s">
        <v>8</v>
      </c>
      <c r="C6">
        <v>578</v>
      </c>
      <c r="D6">
        <v>579</v>
      </c>
      <c r="E6">
        <v>200833.5</v>
      </c>
      <c r="F6">
        <v>4.37</v>
      </c>
      <c r="G6">
        <v>90.8</v>
      </c>
    </row>
    <row r="7" spans="1:7" ht="14" x14ac:dyDescent="0.3">
      <c r="A7" t="s">
        <v>14</v>
      </c>
      <c r="B7" t="s">
        <v>8</v>
      </c>
      <c r="C7">
        <v>1311</v>
      </c>
      <c r="D7">
        <v>1548</v>
      </c>
      <c r="E7">
        <v>184706.78</v>
      </c>
      <c r="F7">
        <v>4.07</v>
      </c>
      <c r="G7">
        <v>93.6</v>
      </c>
    </row>
    <row r="8" spans="1:7" ht="14" x14ac:dyDescent="0.3">
      <c r="A8" t="s">
        <v>15</v>
      </c>
      <c r="B8" t="s">
        <v>8</v>
      </c>
      <c r="C8">
        <v>319</v>
      </c>
      <c r="D8">
        <v>322</v>
      </c>
      <c r="E8">
        <v>171973.55</v>
      </c>
      <c r="F8">
        <v>4.3600000000000003</v>
      </c>
      <c r="G8">
        <v>95.3</v>
      </c>
    </row>
    <row r="9" spans="1:7" ht="14" x14ac:dyDescent="0.3">
      <c r="A9" t="s">
        <v>16</v>
      </c>
      <c r="B9" t="s">
        <v>8</v>
      </c>
      <c r="C9">
        <v>910</v>
      </c>
      <c r="D9">
        <v>1420</v>
      </c>
      <c r="E9">
        <v>171924.96</v>
      </c>
      <c r="F9">
        <v>3.87</v>
      </c>
      <c r="G9">
        <v>93.3</v>
      </c>
    </row>
    <row r="10" spans="1:7" ht="14" x14ac:dyDescent="0.3">
      <c r="A10" t="s">
        <v>17</v>
      </c>
      <c r="B10" t="s">
        <v>8</v>
      </c>
      <c r="C10">
        <v>1145</v>
      </c>
      <c r="D10">
        <v>1155</v>
      </c>
      <c r="E10">
        <v>160278.51999999999</v>
      </c>
      <c r="F10">
        <v>4.2699999999999996</v>
      </c>
      <c r="G10">
        <v>94.8</v>
      </c>
    </row>
    <row r="11" spans="1:7" ht="14" x14ac:dyDescent="0.3">
      <c r="A11" t="s">
        <v>18</v>
      </c>
      <c r="B11" t="s">
        <v>8</v>
      </c>
      <c r="C11">
        <v>1261</v>
      </c>
      <c r="D11">
        <v>1472</v>
      </c>
      <c r="E11">
        <v>156606.48000000001</v>
      </c>
      <c r="F11">
        <v>4.09</v>
      </c>
      <c r="G11">
        <v>93.5</v>
      </c>
    </row>
    <row r="12" spans="1:7" ht="14" x14ac:dyDescent="0.3">
      <c r="A12" t="s">
        <v>19</v>
      </c>
      <c r="B12" t="s">
        <v>8</v>
      </c>
      <c r="C12">
        <v>1819</v>
      </c>
      <c r="D12">
        <v>1996</v>
      </c>
      <c r="E12">
        <v>148050.94</v>
      </c>
      <c r="F12">
        <v>3.95</v>
      </c>
      <c r="G12">
        <v>94.9</v>
      </c>
    </row>
    <row r="13" spans="1:7" ht="14" x14ac:dyDescent="0.3">
      <c r="A13" t="s">
        <v>20</v>
      </c>
      <c r="B13" t="s">
        <v>8</v>
      </c>
      <c r="C13">
        <v>1399</v>
      </c>
      <c r="D13">
        <v>1926</v>
      </c>
      <c r="E13">
        <v>141712.94</v>
      </c>
      <c r="F13">
        <v>3.99</v>
      </c>
      <c r="G13">
        <v>92.2</v>
      </c>
    </row>
    <row r="14" spans="1:7" ht="14" x14ac:dyDescent="0.3">
      <c r="A14" t="s">
        <v>21</v>
      </c>
      <c r="B14" t="s">
        <v>22</v>
      </c>
      <c r="C14">
        <v>503</v>
      </c>
      <c r="D14">
        <v>523</v>
      </c>
      <c r="E14">
        <v>134162.88</v>
      </c>
      <c r="F14">
        <v>4.26</v>
      </c>
      <c r="G14">
        <v>94.5</v>
      </c>
    </row>
    <row r="15" spans="1:7" ht="14" x14ac:dyDescent="0.3">
      <c r="A15" t="s">
        <v>23</v>
      </c>
      <c r="B15" t="s">
        <v>24</v>
      </c>
      <c r="C15">
        <v>702</v>
      </c>
      <c r="D15">
        <v>752</v>
      </c>
      <c r="E15">
        <v>130412.74</v>
      </c>
      <c r="F15">
        <v>4.25</v>
      </c>
      <c r="G15">
        <v>95.1</v>
      </c>
    </row>
    <row r="16" spans="1:7" ht="14" x14ac:dyDescent="0.3">
      <c r="A16" t="s">
        <v>25</v>
      </c>
      <c r="B16" t="s">
        <v>22</v>
      </c>
      <c r="C16">
        <v>722</v>
      </c>
      <c r="D16">
        <v>778</v>
      </c>
      <c r="E16">
        <v>126278.18</v>
      </c>
      <c r="F16">
        <v>4.2699999999999996</v>
      </c>
      <c r="G16">
        <v>91.6</v>
      </c>
    </row>
    <row r="17" spans="1:7" ht="14" x14ac:dyDescent="0.3">
      <c r="A17" t="s">
        <v>26</v>
      </c>
      <c r="B17" t="s">
        <v>8</v>
      </c>
      <c r="C17">
        <v>1651</v>
      </c>
      <c r="D17">
        <v>1719</v>
      </c>
      <c r="E17">
        <v>125936.99</v>
      </c>
      <c r="F17">
        <v>4.1399999999999997</v>
      </c>
      <c r="G17">
        <v>94.9</v>
      </c>
    </row>
    <row r="18" spans="1:7" ht="14" x14ac:dyDescent="0.3">
      <c r="A18" t="s">
        <v>27</v>
      </c>
      <c r="B18" t="s">
        <v>8</v>
      </c>
      <c r="C18">
        <v>322</v>
      </c>
      <c r="D18">
        <v>343</v>
      </c>
      <c r="E18">
        <v>124702.92</v>
      </c>
      <c r="F18">
        <v>4.0199999999999996</v>
      </c>
      <c r="G18">
        <v>94.8</v>
      </c>
    </row>
    <row r="19" spans="1:7" ht="14" x14ac:dyDescent="0.3">
      <c r="A19" t="s">
        <v>28</v>
      </c>
      <c r="B19" t="s">
        <v>8</v>
      </c>
      <c r="C19">
        <v>558</v>
      </c>
      <c r="D19">
        <v>571</v>
      </c>
      <c r="E19">
        <v>120934.47</v>
      </c>
      <c r="F19">
        <v>4.0199999999999996</v>
      </c>
      <c r="G19">
        <v>88.8</v>
      </c>
    </row>
    <row r="20" spans="1:7" ht="14" x14ac:dyDescent="0.3">
      <c r="A20" t="s">
        <v>29</v>
      </c>
      <c r="B20" t="s">
        <v>8</v>
      </c>
      <c r="C20">
        <v>1064</v>
      </c>
      <c r="D20">
        <v>1131</v>
      </c>
      <c r="E20">
        <v>115515.65</v>
      </c>
      <c r="F20">
        <v>4.1500000000000004</v>
      </c>
      <c r="G20">
        <v>94.5</v>
      </c>
    </row>
    <row r="21" spans="1:7" ht="14" x14ac:dyDescent="0.3">
      <c r="A21" t="s">
        <v>30</v>
      </c>
      <c r="B21" t="s">
        <v>22</v>
      </c>
      <c r="C21">
        <v>165</v>
      </c>
      <c r="D21">
        <v>174</v>
      </c>
      <c r="E21">
        <v>83031.14</v>
      </c>
      <c r="F21">
        <v>4.45</v>
      </c>
      <c r="G21">
        <v>93.1</v>
      </c>
    </row>
    <row r="22" spans="1:7" ht="14" x14ac:dyDescent="0.3">
      <c r="A22" t="s">
        <v>31</v>
      </c>
      <c r="B22" t="s">
        <v>32</v>
      </c>
      <c r="C22">
        <v>184</v>
      </c>
      <c r="D22">
        <v>189</v>
      </c>
      <c r="E22">
        <v>78101.34</v>
      </c>
      <c r="F22">
        <v>4.32</v>
      </c>
      <c r="G22">
        <v>93.7</v>
      </c>
    </row>
    <row r="23" spans="1:7" ht="14" x14ac:dyDescent="0.3">
      <c r="A23" t="s">
        <v>33</v>
      </c>
      <c r="B23" t="s">
        <v>8</v>
      </c>
      <c r="C23">
        <v>699</v>
      </c>
      <c r="D23">
        <v>817</v>
      </c>
      <c r="E23">
        <v>77188.55</v>
      </c>
      <c r="F23">
        <v>3.88</v>
      </c>
      <c r="G23">
        <v>95.5</v>
      </c>
    </row>
    <row r="24" spans="1:7" ht="14" x14ac:dyDescent="0.3">
      <c r="A24" t="s">
        <v>34</v>
      </c>
      <c r="B24" t="s">
        <v>8</v>
      </c>
      <c r="C24">
        <v>380</v>
      </c>
      <c r="D24">
        <v>427</v>
      </c>
      <c r="E24">
        <v>73473.98</v>
      </c>
      <c r="F24">
        <v>4.2699999999999996</v>
      </c>
      <c r="G24">
        <v>91.8</v>
      </c>
    </row>
    <row r="25" spans="1:7" ht="14" x14ac:dyDescent="0.3">
      <c r="A25" t="s">
        <v>35</v>
      </c>
      <c r="B25" t="s">
        <v>8</v>
      </c>
      <c r="C25">
        <v>218</v>
      </c>
      <c r="D25">
        <v>229</v>
      </c>
      <c r="E25">
        <v>72387.94</v>
      </c>
      <c r="F25">
        <v>4.22</v>
      </c>
      <c r="G25">
        <v>86.9</v>
      </c>
    </row>
    <row r="26" spans="1:7" ht="14" x14ac:dyDescent="0.3">
      <c r="A26" t="s">
        <v>36</v>
      </c>
      <c r="B26" t="s">
        <v>8</v>
      </c>
      <c r="C26">
        <v>293</v>
      </c>
      <c r="D26">
        <v>305</v>
      </c>
      <c r="E26">
        <v>70400.600000000006</v>
      </c>
      <c r="F26">
        <v>4.4000000000000004</v>
      </c>
      <c r="G26">
        <v>91.5</v>
      </c>
    </row>
    <row r="27" spans="1:7" ht="14" x14ac:dyDescent="0.3">
      <c r="A27" t="s">
        <v>37</v>
      </c>
      <c r="B27" t="s">
        <v>38</v>
      </c>
      <c r="C27">
        <v>337</v>
      </c>
      <c r="D27">
        <v>377</v>
      </c>
      <c r="E27">
        <v>64776.59</v>
      </c>
      <c r="F27">
        <v>4.17</v>
      </c>
      <c r="G27">
        <v>96.8</v>
      </c>
    </row>
    <row r="28" spans="1:7" ht="14" x14ac:dyDescent="0.3">
      <c r="A28" t="s">
        <v>39</v>
      </c>
      <c r="B28" t="s">
        <v>8</v>
      </c>
      <c r="C28">
        <v>659</v>
      </c>
      <c r="D28">
        <v>714</v>
      </c>
      <c r="E28">
        <v>62487.02</v>
      </c>
      <c r="F28">
        <v>4.25</v>
      </c>
      <c r="G28">
        <v>95</v>
      </c>
    </row>
    <row r="29" spans="1:7" ht="14" x14ac:dyDescent="0.3">
      <c r="A29" t="s">
        <v>40</v>
      </c>
      <c r="B29" t="s">
        <v>8</v>
      </c>
      <c r="C29">
        <v>325</v>
      </c>
      <c r="D29">
        <v>334</v>
      </c>
      <c r="E29">
        <v>62202.75</v>
      </c>
      <c r="F29">
        <v>3.98</v>
      </c>
      <c r="G29">
        <v>91.9</v>
      </c>
    </row>
    <row r="30" spans="1:7" ht="14" x14ac:dyDescent="0.3">
      <c r="A30" t="s">
        <v>41</v>
      </c>
      <c r="B30" t="s">
        <v>42</v>
      </c>
      <c r="C30">
        <v>92</v>
      </c>
      <c r="D30">
        <v>92</v>
      </c>
      <c r="E30">
        <v>61940.62</v>
      </c>
      <c r="F30">
        <v>3.95</v>
      </c>
      <c r="G30">
        <v>92.4</v>
      </c>
    </row>
    <row r="31" spans="1:7" ht="14" x14ac:dyDescent="0.3">
      <c r="A31" t="s">
        <v>43</v>
      </c>
      <c r="B31" t="s">
        <v>32</v>
      </c>
      <c r="C31">
        <v>172</v>
      </c>
      <c r="D31">
        <v>178</v>
      </c>
      <c r="E31">
        <v>61273.66</v>
      </c>
      <c r="F31">
        <v>3.91</v>
      </c>
      <c r="G31">
        <v>91.6</v>
      </c>
    </row>
    <row r="32" spans="1:7" ht="14" x14ac:dyDescent="0.3">
      <c r="A32" t="s">
        <v>44</v>
      </c>
      <c r="B32" t="s">
        <v>8</v>
      </c>
      <c r="C32">
        <v>382</v>
      </c>
      <c r="D32">
        <v>420</v>
      </c>
      <c r="E32">
        <v>61162.94</v>
      </c>
      <c r="F32">
        <v>4.17</v>
      </c>
      <c r="G32">
        <v>91.7</v>
      </c>
    </row>
    <row r="33" spans="1:7" ht="14" x14ac:dyDescent="0.3">
      <c r="A33" t="s">
        <v>45</v>
      </c>
      <c r="B33" t="s">
        <v>24</v>
      </c>
      <c r="C33">
        <v>156</v>
      </c>
      <c r="D33">
        <v>266</v>
      </c>
      <c r="E33">
        <v>61154.7</v>
      </c>
      <c r="F33">
        <v>3.73</v>
      </c>
      <c r="G33">
        <v>94</v>
      </c>
    </row>
    <row r="34" spans="1:7" ht="14" x14ac:dyDescent="0.3">
      <c r="A34" t="s">
        <v>46</v>
      </c>
      <c r="B34" t="s">
        <v>8</v>
      </c>
      <c r="C34">
        <v>269</v>
      </c>
      <c r="D34">
        <v>278</v>
      </c>
      <c r="E34">
        <v>60756.76</v>
      </c>
      <c r="F34">
        <v>4.32</v>
      </c>
      <c r="G34">
        <v>97.5</v>
      </c>
    </row>
    <row r="35" spans="1:7" ht="14" x14ac:dyDescent="0.3">
      <c r="A35" t="s">
        <v>47</v>
      </c>
      <c r="B35" t="s">
        <v>8</v>
      </c>
      <c r="C35">
        <v>247</v>
      </c>
      <c r="D35">
        <v>260</v>
      </c>
      <c r="E35">
        <v>59530.49</v>
      </c>
      <c r="F35">
        <v>4.2</v>
      </c>
      <c r="G35">
        <v>92.7</v>
      </c>
    </row>
    <row r="36" spans="1:7" ht="14" x14ac:dyDescent="0.3">
      <c r="A36" t="s">
        <v>48</v>
      </c>
      <c r="B36" t="s">
        <v>8</v>
      </c>
      <c r="C36">
        <v>56</v>
      </c>
      <c r="D36">
        <v>61</v>
      </c>
      <c r="E36">
        <v>57812.43</v>
      </c>
      <c r="F36">
        <v>4.34</v>
      </c>
      <c r="G36">
        <v>91.8</v>
      </c>
    </row>
    <row r="37" spans="1:7" ht="14" x14ac:dyDescent="0.3">
      <c r="A37" t="s">
        <v>49</v>
      </c>
      <c r="B37" t="s">
        <v>8</v>
      </c>
      <c r="C37">
        <v>198</v>
      </c>
      <c r="D37">
        <v>206</v>
      </c>
      <c r="E37">
        <v>57653.73</v>
      </c>
      <c r="F37">
        <v>4.2</v>
      </c>
      <c r="G37">
        <v>95.1</v>
      </c>
    </row>
    <row r="38" spans="1:7" ht="14" x14ac:dyDescent="0.3">
      <c r="A38" t="s">
        <v>50</v>
      </c>
      <c r="B38" t="s">
        <v>8</v>
      </c>
      <c r="C38">
        <v>324</v>
      </c>
      <c r="D38">
        <v>350</v>
      </c>
      <c r="E38">
        <v>55596.65</v>
      </c>
      <c r="F38">
        <v>4.2</v>
      </c>
      <c r="G38">
        <v>93.7</v>
      </c>
    </row>
    <row r="39" spans="1:7" ht="14" x14ac:dyDescent="0.3">
      <c r="A39" t="s">
        <v>51</v>
      </c>
      <c r="B39" t="s">
        <v>8</v>
      </c>
      <c r="C39">
        <v>113</v>
      </c>
      <c r="D39">
        <v>118</v>
      </c>
      <c r="E39">
        <v>55366.96</v>
      </c>
      <c r="F39">
        <v>4.28</v>
      </c>
      <c r="G39">
        <v>93.2</v>
      </c>
    </row>
    <row r="40" spans="1:7" ht="14" x14ac:dyDescent="0.3">
      <c r="A40" t="s">
        <v>52</v>
      </c>
      <c r="B40" t="s">
        <v>8</v>
      </c>
      <c r="C40">
        <v>380</v>
      </c>
      <c r="D40">
        <v>424</v>
      </c>
      <c r="E40">
        <v>54095.68</v>
      </c>
      <c r="F40">
        <v>3.85</v>
      </c>
      <c r="G40">
        <v>84.9</v>
      </c>
    </row>
    <row r="41" spans="1:7" ht="14" x14ac:dyDescent="0.3">
      <c r="A41" t="s">
        <v>53</v>
      </c>
      <c r="B41" t="s">
        <v>8</v>
      </c>
      <c r="C41">
        <v>1132</v>
      </c>
      <c r="D41">
        <v>1188</v>
      </c>
      <c r="E41">
        <v>53988.63</v>
      </c>
      <c r="F41">
        <v>3.98</v>
      </c>
      <c r="G41">
        <v>91.6</v>
      </c>
    </row>
    <row r="42" spans="1:7" ht="14" x14ac:dyDescent="0.3">
      <c r="A42" s="1" t="s">
        <v>54</v>
      </c>
      <c r="B42" t="s">
        <v>32</v>
      </c>
      <c r="C42">
        <v>312</v>
      </c>
      <c r="D42">
        <v>381</v>
      </c>
      <c r="E42">
        <v>53951.31</v>
      </c>
      <c r="F42">
        <v>4.08</v>
      </c>
      <c r="G42">
        <v>91.1</v>
      </c>
    </row>
    <row r="43" spans="1:7" ht="14" x14ac:dyDescent="0.3">
      <c r="A43" t="s">
        <v>55</v>
      </c>
      <c r="B43" t="s">
        <v>22</v>
      </c>
      <c r="C43">
        <v>57</v>
      </c>
      <c r="D43">
        <v>58</v>
      </c>
      <c r="E43">
        <v>53913.760000000002</v>
      </c>
      <c r="F43">
        <v>4.59</v>
      </c>
      <c r="G43">
        <v>100</v>
      </c>
    </row>
    <row r="44" spans="1:7" ht="14" x14ac:dyDescent="0.3">
      <c r="A44" s="1" t="s">
        <v>56</v>
      </c>
      <c r="B44" t="s">
        <v>8</v>
      </c>
      <c r="C44">
        <v>412</v>
      </c>
      <c r="D44">
        <v>446</v>
      </c>
      <c r="E44">
        <v>52485.599999999999</v>
      </c>
      <c r="F44">
        <v>3.9</v>
      </c>
      <c r="G44">
        <v>91</v>
      </c>
    </row>
    <row r="45" spans="1:7" ht="14" x14ac:dyDescent="0.3">
      <c r="A45" t="s">
        <v>57</v>
      </c>
      <c r="B45" t="s">
        <v>8</v>
      </c>
      <c r="C45">
        <v>645</v>
      </c>
      <c r="D45">
        <v>738</v>
      </c>
      <c r="E45">
        <v>52211.3</v>
      </c>
      <c r="F45">
        <v>4.2</v>
      </c>
      <c r="G45">
        <v>93.8</v>
      </c>
    </row>
    <row r="46" spans="1:7" ht="14" x14ac:dyDescent="0.3">
      <c r="A46" t="s">
        <v>58</v>
      </c>
      <c r="B46" t="s">
        <v>22</v>
      </c>
      <c r="C46">
        <v>30</v>
      </c>
      <c r="D46">
        <v>31</v>
      </c>
      <c r="E46">
        <v>51629.49</v>
      </c>
      <c r="F46">
        <v>4.1900000000000004</v>
      </c>
      <c r="G46">
        <v>93.5</v>
      </c>
    </row>
    <row r="47" spans="1:7" ht="14" x14ac:dyDescent="0.3">
      <c r="A47" t="s">
        <v>59</v>
      </c>
      <c r="B47" t="s">
        <v>8</v>
      </c>
      <c r="C47">
        <v>363</v>
      </c>
      <c r="D47">
        <v>389</v>
      </c>
      <c r="E47">
        <v>50785.760000000002</v>
      </c>
      <c r="F47">
        <v>4.2</v>
      </c>
      <c r="G47">
        <v>96.1</v>
      </c>
    </row>
    <row r="48" spans="1:7" ht="14" x14ac:dyDescent="0.3">
      <c r="A48" t="s">
        <v>60</v>
      </c>
      <c r="B48" t="s">
        <v>8</v>
      </c>
      <c r="C48">
        <v>346</v>
      </c>
      <c r="D48">
        <v>365</v>
      </c>
      <c r="E48">
        <v>50096.67</v>
      </c>
      <c r="F48">
        <v>4.09</v>
      </c>
      <c r="G48">
        <v>92.9</v>
      </c>
    </row>
    <row r="49" spans="1:7" ht="14" x14ac:dyDescent="0.3">
      <c r="A49" t="s">
        <v>61</v>
      </c>
      <c r="B49" t="s">
        <v>8</v>
      </c>
      <c r="C49">
        <v>521</v>
      </c>
      <c r="D49">
        <v>605</v>
      </c>
      <c r="E49">
        <v>49559.14</v>
      </c>
      <c r="F49">
        <v>3.98</v>
      </c>
      <c r="G49">
        <v>92.1</v>
      </c>
    </row>
    <row r="50" spans="1:7" ht="14" x14ac:dyDescent="0.3">
      <c r="A50" t="s">
        <v>62</v>
      </c>
      <c r="B50" t="s">
        <v>32</v>
      </c>
      <c r="C50">
        <v>278</v>
      </c>
      <c r="D50">
        <v>307</v>
      </c>
      <c r="E50">
        <v>49127.81</v>
      </c>
      <c r="F50">
        <v>4.45</v>
      </c>
      <c r="G50">
        <v>98.7</v>
      </c>
    </row>
    <row r="51" spans="1:7" ht="14" x14ac:dyDescent="0.3">
      <c r="A51" t="s">
        <v>63</v>
      </c>
      <c r="B51" t="s">
        <v>8</v>
      </c>
      <c r="C51">
        <v>124</v>
      </c>
      <c r="D51">
        <v>148</v>
      </c>
      <c r="E51">
        <v>49114.41</v>
      </c>
      <c r="F51">
        <v>4.2300000000000004</v>
      </c>
      <c r="G51">
        <v>94.6</v>
      </c>
    </row>
    <row r="52" spans="1:7" ht="14" x14ac:dyDescent="0.3">
      <c r="A52" t="s">
        <v>64</v>
      </c>
      <c r="B52" t="s">
        <v>8</v>
      </c>
      <c r="C52">
        <v>524</v>
      </c>
      <c r="D52">
        <v>525</v>
      </c>
      <c r="E52">
        <v>48984.45</v>
      </c>
      <c r="F52">
        <v>4.1399999999999997</v>
      </c>
      <c r="G52">
        <v>96.2</v>
      </c>
    </row>
    <row r="53" spans="1:7" ht="14" x14ac:dyDescent="0.3">
      <c r="A53" t="s">
        <v>65</v>
      </c>
      <c r="B53" t="s">
        <v>8</v>
      </c>
      <c r="C53">
        <v>186</v>
      </c>
      <c r="D53">
        <v>191</v>
      </c>
      <c r="E53">
        <v>48382.720000000001</v>
      </c>
      <c r="F53">
        <v>4.29</v>
      </c>
      <c r="G53">
        <v>95.3</v>
      </c>
    </row>
    <row r="54" spans="1:7" ht="14" x14ac:dyDescent="0.3">
      <c r="A54" t="s">
        <v>66</v>
      </c>
      <c r="B54" t="s">
        <v>67</v>
      </c>
      <c r="C54">
        <v>389</v>
      </c>
      <c r="D54">
        <v>402</v>
      </c>
      <c r="E54">
        <v>48169.5</v>
      </c>
      <c r="F54">
        <v>4.0199999999999996</v>
      </c>
      <c r="G54">
        <v>80.599999999999994</v>
      </c>
    </row>
    <row r="55" spans="1:7" ht="14" x14ac:dyDescent="0.3">
      <c r="A55" t="s">
        <v>68</v>
      </c>
      <c r="B55" t="s">
        <v>8</v>
      </c>
      <c r="C55">
        <v>67</v>
      </c>
      <c r="D55">
        <v>67</v>
      </c>
      <c r="E55">
        <v>47432.57</v>
      </c>
      <c r="F55">
        <v>4.12</v>
      </c>
      <c r="G55">
        <v>97</v>
      </c>
    </row>
    <row r="56" spans="1:7" ht="14" x14ac:dyDescent="0.3">
      <c r="A56" t="s">
        <v>69</v>
      </c>
      <c r="B56" t="s">
        <v>8</v>
      </c>
      <c r="C56">
        <v>149</v>
      </c>
      <c r="D56">
        <v>152</v>
      </c>
      <c r="E56">
        <v>46871.55</v>
      </c>
      <c r="F56">
        <v>4.1900000000000004</v>
      </c>
      <c r="G56">
        <v>88.2</v>
      </c>
    </row>
    <row r="57" spans="1:7" ht="14" x14ac:dyDescent="0.3">
      <c r="A57" t="s">
        <v>70</v>
      </c>
      <c r="B57" t="s">
        <v>42</v>
      </c>
      <c r="C57">
        <v>82</v>
      </c>
      <c r="D57">
        <v>83</v>
      </c>
      <c r="E57">
        <v>46506.89</v>
      </c>
      <c r="F57">
        <v>4.42</v>
      </c>
      <c r="G57">
        <v>96.4</v>
      </c>
    </row>
    <row r="58" spans="1:7" ht="14" x14ac:dyDescent="0.3">
      <c r="A58" t="s">
        <v>71</v>
      </c>
      <c r="B58" t="s">
        <v>42</v>
      </c>
      <c r="C58">
        <v>77</v>
      </c>
      <c r="D58">
        <v>85</v>
      </c>
      <c r="E58">
        <v>46149.82</v>
      </c>
      <c r="F58">
        <v>3.46</v>
      </c>
      <c r="G58">
        <v>80</v>
      </c>
    </row>
    <row r="59" spans="1:7" ht="14" x14ac:dyDescent="0.3">
      <c r="A59" t="s">
        <v>72</v>
      </c>
      <c r="B59" t="s">
        <v>8</v>
      </c>
      <c r="C59">
        <v>38</v>
      </c>
      <c r="D59">
        <v>38</v>
      </c>
      <c r="E59">
        <v>45523.5</v>
      </c>
      <c r="F59">
        <v>4.42</v>
      </c>
      <c r="G59">
        <v>94.7</v>
      </c>
    </row>
    <row r="60" spans="1:7" ht="14" x14ac:dyDescent="0.3">
      <c r="A60" t="s">
        <v>73</v>
      </c>
      <c r="B60" t="s">
        <v>22</v>
      </c>
      <c r="C60">
        <v>265</v>
      </c>
      <c r="D60">
        <v>323</v>
      </c>
      <c r="E60">
        <v>45014.1</v>
      </c>
      <c r="F60">
        <v>3.87</v>
      </c>
      <c r="G60">
        <v>91</v>
      </c>
    </row>
    <row r="61" spans="1:7" ht="14" x14ac:dyDescent="0.3">
      <c r="A61" t="s">
        <v>74</v>
      </c>
      <c r="B61" t="s">
        <v>8</v>
      </c>
      <c r="C61">
        <v>66</v>
      </c>
      <c r="D61">
        <v>66</v>
      </c>
      <c r="E61">
        <v>44207.42</v>
      </c>
      <c r="F61">
        <v>4.55</v>
      </c>
      <c r="G61">
        <v>93.9</v>
      </c>
    </row>
    <row r="62" spans="1:7" ht="14" x14ac:dyDescent="0.3">
      <c r="A62" t="s">
        <v>75</v>
      </c>
      <c r="B62" t="s">
        <v>8</v>
      </c>
      <c r="C62">
        <v>316</v>
      </c>
      <c r="D62">
        <v>328</v>
      </c>
      <c r="E62">
        <v>44025.68</v>
      </c>
      <c r="F62">
        <v>4.0599999999999996</v>
      </c>
      <c r="G62">
        <v>93</v>
      </c>
    </row>
    <row r="63" spans="1:7" ht="14" x14ac:dyDescent="0.3">
      <c r="A63" t="s">
        <v>76</v>
      </c>
      <c r="B63" t="s">
        <v>8</v>
      </c>
      <c r="C63">
        <v>33</v>
      </c>
      <c r="D63">
        <v>36</v>
      </c>
      <c r="E63">
        <v>43749.93</v>
      </c>
      <c r="F63">
        <v>4.03</v>
      </c>
      <c r="G63">
        <v>97.2</v>
      </c>
    </row>
    <row r="64" spans="1:7" ht="14" x14ac:dyDescent="0.3">
      <c r="A64" t="s">
        <v>77</v>
      </c>
      <c r="B64" t="s">
        <v>8</v>
      </c>
      <c r="C64">
        <v>187</v>
      </c>
      <c r="D64">
        <v>197</v>
      </c>
      <c r="E64">
        <v>42046.73</v>
      </c>
      <c r="F64">
        <v>2.81</v>
      </c>
      <c r="G64">
        <v>88.3</v>
      </c>
    </row>
    <row r="65" spans="1:7" ht="14" x14ac:dyDescent="0.3">
      <c r="A65" t="s">
        <v>78</v>
      </c>
      <c r="B65" t="s">
        <v>8</v>
      </c>
      <c r="C65">
        <v>417</v>
      </c>
      <c r="D65">
        <v>551</v>
      </c>
      <c r="E65">
        <v>41628.28</v>
      </c>
      <c r="F65">
        <v>3.62</v>
      </c>
      <c r="G65">
        <v>91.1</v>
      </c>
    </row>
    <row r="66" spans="1:7" ht="14" x14ac:dyDescent="0.3">
      <c r="A66" t="s">
        <v>79</v>
      </c>
      <c r="B66" t="s">
        <v>42</v>
      </c>
      <c r="C66">
        <v>202</v>
      </c>
      <c r="D66">
        <v>215</v>
      </c>
      <c r="E66">
        <v>41180.44</v>
      </c>
      <c r="F66">
        <v>4.05</v>
      </c>
      <c r="G66">
        <v>96.7</v>
      </c>
    </row>
    <row r="67" spans="1:7" ht="14" x14ac:dyDescent="0.3">
      <c r="A67" t="s">
        <v>80</v>
      </c>
      <c r="B67" t="s">
        <v>24</v>
      </c>
      <c r="C67">
        <v>335</v>
      </c>
      <c r="D67">
        <v>358</v>
      </c>
      <c r="E67">
        <v>40911.93</v>
      </c>
      <c r="F67">
        <v>4.43</v>
      </c>
      <c r="G67">
        <v>95.8</v>
      </c>
    </row>
    <row r="68" spans="1:7" ht="14" x14ac:dyDescent="0.3">
      <c r="A68" t="s">
        <v>81</v>
      </c>
      <c r="B68" t="s">
        <v>24</v>
      </c>
      <c r="C68">
        <v>394</v>
      </c>
      <c r="D68">
        <v>417</v>
      </c>
      <c r="E68">
        <v>40616.550000000003</v>
      </c>
      <c r="F68">
        <v>4.2699999999999996</v>
      </c>
      <c r="G68">
        <v>97.6</v>
      </c>
    </row>
    <row r="69" spans="1:7" ht="14" x14ac:dyDescent="0.3">
      <c r="A69" t="s">
        <v>82</v>
      </c>
      <c r="B69" t="s">
        <v>8</v>
      </c>
      <c r="C69">
        <v>260</v>
      </c>
      <c r="D69">
        <v>336</v>
      </c>
      <c r="E69">
        <v>40190.559999999998</v>
      </c>
      <c r="F69">
        <v>4.32</v>
      </c>
      <c r="G69">
        <v>94.9</v>
      </c>
    </row>
    <row r="70" spans="1:7" ht="14" x14ac:dyDescent="0.3">
      <c r="A70" t="s">
        <v>83</v>
      </c>
      <c r="B70" t="s">
        <v>8</v>
      </c>
      <c r="C70">
        <v>228</v>
      </c>
      <c r="D70">
        <v>241</v>
      </c>
      <c r="E70">
        <v>39360.199999999997</v>
      </c>
      <c r="F70">
        <v>4.0199999999999996</v>
      </c>
      <c r="G70">
        <v>89.6</v>
      </c>
    </row>
    <row r="71" spans="1:7" ht="14" x14ac:dyDescent="0.3">
      <c r="A71" t="s">
        <v>84</v>
      </c>
      <c r="B71" t="s">
        <v>8</v>
      </c>
      <c r="C71">
        <v>463</v>
      </c>
      <c r="D71">
        <v>512</v>
      </c>
      <c r="E71">
        <v>39283.93</v>
      </c>
      <c r="F71">
        <v>4.08</v>
      </c>
      <c r="G71">
        <v>95.3</v>
      </c>
    </row>
    <row r="72" spans="1:7" ht="14" x14ac:dyDescent="0.3">
      <c r="A72" s="1" t="s">
        <v>85</v>
      </c>
      <c r="B72" t="s">
        <v>8</v>
      </c>
      <c r="C72">
        <v>300</v>
      </c>
      <c r="D72">
        <v>311</v>
      </c>
      <c r="E72">
        <v>38408.559999999998</v>
      </c>
      <c r="F72">
        <v>3.83</v>
      </c>
      <c r="G72">
        <v>87.5</v>
      </c>
    </row>
    <row r="73" spans="1:7" ht="14" x14ac:dyDescent="0.3">
      <c r="A73" t="s">
        <v>86</v>
      </c>
      <c r="B73" t="s">
        <v>87</v>
      </c>
      <c r="C73">
        <v>305</v>
      </c>
      <c r="D73">
        <v>339</v>
      </c>
      <c r="E73">
        <v>38314.31</v>
      </c>
      <c r="F73">
        <v>4.3600000000000003</v>
      </c>
      <c r="G73">
        <v>95.9</v>
      </c>
    </row>
    <row r="74" spans="1:7" ht="14" x14ac:dyDescent="0.3">
      <c r="A74" t="s">
        <v>88</v>
      </c>
      <c r="B74" t="s">
        <v>32</v>
      </c>
      <c r="C74">
        <v>238</v>
      </c>
      <c r="D74">
        <v>246</v>
      </c>
      <c r="E74">
        <v>38251.61</v>
      </c>
      <c r="F74">
        <v>4.3099999999999996</v>
      </c>
      <c r="G74">
        <v>95.5</v>
      </c>
    </row>
    <row r="75" spans="1:7" ht="14" x14ac:dyDescent="0.3">
      <c r="A75" t="s">
        <v>89</v>
      </c>
      <c r="B75" t="s">
        <v>32</v>
      </c>
      <c r="C75">
        <v>209</v>
      </c>
      <c r="D75">
        <v>260</v>
      </c>
      <c r="E75">
        <v>38082.42</v>
      </c>
      <c r="F75">
        <v>4.03</v>
      </c>
      <c r="G75">
        <v>90.4</v>
      </c>
    </row>
    <row r="76" spans="1:7" ht="14" x14ac:dyDescent="0.3">
      <c r="A76" t="s">
        <v>90</v>
      </c>
      <c r="B76" t="s">
        <v>8</v>
      </c>
      <c r="C76">
        <v>18</v>
      </c>
      <c r="D76">
        <v>18</v>
      </c>
      <c r="E76">
        <v>37657.769999999997</v>
      </c>
      <c r="F76">
        <v>4.28</v>
      </c>
      <c r="G76">
        <v>100</v>
      </c>
    </row>
    <row r="77" spans="1:7" ht="14" x14ac:dyDescent="0.3">
      <c r="A77" t="s">
        <v>91</v>
      </c>
      <c r="B77" t="s">
        <v>8</v>
      </c>
      <c r="C77">
        <v>160</v>
      </c>
      <c r="D77">
        <v>166</v>
      </c>
      <c r="E77">
        <v>36400.97</v>
      </c>
      <c r="F77">
        <v>3.96</v>
      </c>
      <c r="G77">
        <v>95.8</v>
      </c>
    </row>
    <row r="78" spans="1:7" ht="14" x14ac:dyDescent="0.3">
      <c r="A78" t="s">
        <v>92</v>
      </c>
      <c r="B78" t="s">
        <v>32</v>
      </c>
      <c r="C78">
        <v>246</v>
      </c>
      <c r="D78">
        <v>300</v>
      </c>
      <c r="E78">
        <v>36258.589999999997</v>
      </c>
      <c r="F78">
        <v>3.37</v>
      </c>
      <c r="G78">
        <v>83.7</v>
      </c>
    </row>
    <row r="79" spans="1:7" ht="14" x14ac:dyDescent="0.3">
      <c r="A79" t="s">
        <v>93</v>
      </c>
      <c r="B79" t="s">
        <v>8</v>
      </c>
      <c r="C79">
        <v>128</v>
      </c>
      <c r="D79">
        <v>155</v>
      </c>
      <c r="E79">
        <v>35731.660000000003</v>
      </c>
      <c r="F79">
        <v>4.0999999999999996</v>
      </c>
      <c r="G79">
        <v>91.6</v>
      </c>
    </row>
    <row r="80" spans="1:7" ht="14" x14ac:dyDescent="0.3">
      <c r="A80" t="s">
        <v>94</v>
      </c>
      <c r="B80" t="s">
        <v>24</v>
      </c>
      <c r="C80">
        <v>246</v>
      </c>
      <c r="D80">
        <v>267</v>
      </c>
      <c r="E80">
        <v>35714.559999999998</v>
      </c>
      <c r="F80">
        <v>4.2699999999999996</v>
      </c>
      <c r="G80">
        <v>94</v>
      </c>
    </row>
    <row r="81" spans="1:7" ht="14" x14ac:dyDescent="0.3">
      <c r="A81" t="s">
        <v>95</v>
      </c>
      <c r="B81" t="s">
        <v>8</v>
      </c>
      <c r="C81">
        <v>151</v>
      </c>
      <c r="D81">
        <v>200</v>
      </c>
      <c r="E81">
        <v>35543.82</v>
      </c>
      <c r="F81">
        <v>4.09</v>
      </c>
      <c r="G81">
        <v>92</v>
      </c>
    </row>
    <row r="82" spans="1:7" ht="14" x14ac:dyDescent="0.3">
      <c r="A82" t="s">
        <v>96</v>
      </c>
      <c r="B82" t="s">
        <v>8</v>
      </c>
      <c r="C82">
        <v>312</v>
      </c>
      <c r="D82">
        <v>323</v>
      </c>
      <c r="E82">
        <v>35487.25</v>
      </c>
      <c r="F82">
        <v>3.79</v>
      </c>
      <c r="G82">
        <v>90.7</v>
      </c>
    </row>
    <row r="83" spans="1:7" ht="14" x14ac:dyDescent="0.3">
      <c r="A83" t="s">
        <v>97</v>
      </c>
      <c r="B83" t="s">
        <v>8</v>
      </c>
      <c r="C83">
        <v>98</v>
      </c>
      <c r="D83">
        <v>100</v>
      </c>
      <c r="E83">
        <v>34637.660000000003</v>
      </c>
      <c r="F83">
        <v>4.13</v>
      </c>
      <c r="G83">
        <v>99</v>
      </c>
    </row>
    <row r="84" spans="1:7" ht="14" x14ac:dyDescent="0.3">
      <c r="A84" t="s">
        <v>98</v>
      </c>
      <c r="B84" t="s">
        <v>8</v>
      </c>
      <c r="C84">
        <v>106</v>
      </c>
      <c r="D84">
        <v>112</v>
      </c>
      <c r="E84">
        <v>34149.660000000003</v>
      </c>
      <c r="F84">
        <v>4.38</v>
      </c>
      <c r="G84">
        <v>93.8</v>
      </c>
    </row>
    <row r="85" spans="1:7" ht="14" x14ac:dyDescent="0.3">
      <c r="A85" t="s">
        <v>99</v>
      </c>
      <c r="B85" t="s">
        <v>8</v>
      </c>
      <c r="C85">
        <v>58</v>
      </c>
      <c r="D85">
        <v>76</v>
      </c>
      <c r="E85">
        <v>34074.67</v>
      </c>
      <c r="F85">
        <v>4.16</v>
      </c>
      <c r="G85">
        <v>92.1</v>
      </c>
    </row>
    <row r="86" spans="1:7" ht="14" x14ac:dyDescent="0.3">
      <c r="A86" t="s">
        <v>100</v>
      </c>
      <c r="B86" t="s">
        <v>101</v>
      </c>
      <c r="C86">
        <v>195</v>
      </c>
      <c r="D86">
        <v>234</v>
      </c>
      <c r="E86">
        <v>33142.9</v>
      </c>
      <c r="F86">
        <v>3.97</v>
      </c>
      <c r="G86">
        <v>94.9</v>
      </c>
    </row>
    <row r="87" spans="1:7" ht="14" x14ac:dyDescent="0.3">
      <c r="A87" t="s">
        <v>102</v>
      </c>
      <c r="B87" t="s">
        <v>32</v>
      </c>
      <c r="C87">
        <v>69</v>
      </c>
      <c r="D87">
        <v>82</v>
      </c>
      <c r="E87">
        <v>32876.370000000003</v>
      </c>
      <c r="F87">
        <v>4.33</v>
      </c>
      <c r="G87">
        <v>92.7</v>
      </c>
    </row>
    <row r="88" spans="1:7" ht="14" x14ac:dyDescent="0.3">
      <c r="A88" s="1" t="s">
        <v>103</v>
      </c>
      <c r="B88" t="s">
        <v>8</v>
      </c>
      <c r="C88">
        <v>406</v>
      </c>
      <c r="D88">
        <v>523</v>
      </c>
      <c r="E88">
        <v>32679.54</v>
      </c>
      <c r="F88">
        <v>3.88</v>
      </c>
      <c r="G88">
        <v>93.5</v>
      </c>
    </row>
    <row r="89" spans="1:7" ht="14" x14ac:dyDescent="0.3">
      <c r="A89" t="s">
        <v>104</v>
      </c>
      <c r="B89" t="s">
        <v>8</v>
      </c>
      <c r="C89">
        <v>214</v>
      </c>
      <c r="D89">
        <v>239</v>
      </c>
      <c r="E89">
        <v>32213.68</v>
      </c>
      <c r="F89">
        <v>3.8</v>
      </c>
      <c r="G89">
        <v>93.7</v>
      </c>
    </row>
    <row r="90" spans="1:7" ht="14" x14ac:dyDescent="0.3">
      <c r="A90" t="s">
        <v>105</v>
      </c>
      <c r="B90" t="s">
        <v>32</v>
      </c>
      <c r="C90">
        <v>163</v>
      </c>
      <c r="D90">
        <v>209</v>
      </c>
      <c r="E90">
        <v>32090.94</v>
      </c>
      <c r="F90">
        <v>4.0199999999999996</v>
      </c>
      <c r="G90">
        <v>96.7</v>
      </c>
    </row>
    <row r="91" spans="1:7" ht="14" x14ac:dyDescent="0.3">
      <c r="A91" t="s">
        <v>106</v>
      </c>
      <c r="B91" t="s">
        <v>24</v>
      </c>
      <c r="C91">
        <v>125</v>
      </c>
      <c r="D91">
        <v>133</v>
      </c>
      <c r="E91">
        <v>32082.07</v>
      </c>
      <c r="F91">
        <v>3.97</v>
      </c>
      <c r="G91">
        <v>88.7</v>
      </c>
    </row>
    <row r="92" spans="1:7" ht="14" x14ac:dyDescent="0.3">
      <c r="A92" t="s">
        <v>107</v>
      </c>
      <c r="B92" t="s">
        <v>32</v>
      </c>
      <c r="C92">
        <v>39</v>
      </c>
      <c r="D92">
        <v>39</v>
      </c>
      <c r="E92">
        <v>31954.84</v>
      </c>
      <c r="F92">
        <v>4.41</v>
      </c>
      <c r="G92">
        <v>97.4</v>
      </c>
    </row>
    <row r="93" spans="1:7" ht="14" x14ac:dyDescent="0.3">
      <c r="A93" t="s">
        <v>108</v>
      </c>
      <c r="B93" t="s">
        <v>8</v>
      </c>
      <c r="C93">
        <v>393</v>
      </c>
      <c r="D93">
        <v>426</v>
      </c>
      <c r="E93">
        <v>31862.59</v>
      </c>
      <c r="F93">
        <v>4.3099999999999996</v>
      </c>
      <c r="G93">
        <v>96.2</v>
      </c>
    </row>
    <row r="94" spans="1:7" ht="14" x14ac:dyDescent="0.3">
      <c r="A94" t="s">
        <v>109</v>
      </c>
      <c r="B94" t="s">
        <v>42</v>
      </c>
      <c r="C94">
        <v>251</v>
      </c>
      <c r="D94">
        <v>260</v>
      </c>
      <c r="E94">
        <v>31479.279999999999</v>
      </c>
      <c r="F94">
        <v>4.4000000000000004</v>
      </c>
      <c r="G94">
        <v>95.8</v>
      </c>
    </row>
    <row r="95" spans="1:7" ht="14" x14ac:dyDescent="0.3">
      <c r="A95" t="s">
        <v>110</v>
      </c>
      <c r="B95" t="s">
        <v>8</v>
      </c>
      <c r="C95">
        <v>930</v>
      </c>
      <c r="D95">
        <v>1005</v>
      </c>
      <c r="E95">
        <v>31186.94</v>
      </c>
      <c r="F95">
        <v>4.0199999999999996</v>
      </c>
      <c r="G95">
        <v>91.3</v>
      </c>
    </row>
    <row r="96" spans="1:7" ht="14" x14ac:dyDescent="0.3">
      <c r="A96" t="s">
        <v>111</v>
      </c>
      <c r="B96" t="s">
        <v>8</v>
      </c>
      <c r="C96">
        <v>86</v>
      </c>
      <c r="D96">
        <v>86</v>
      </c>
      <c r="E96">
        <v>31167.46</v>
      </c>
      <c r="F96">
        <v>4.2300000000000004</v>
      </c>
      <c r="G96">
        <v>86</v>
      </c>
    </row>
    <row r="97" spans="1:7" ht="14" x14ac:dyDescent="0.3">
      <c r="A97" t="s">
        <v>112</v>
      </c>
      <c r="B97" t="s">
        <v>8</v>
      </c>
      <c r="C97">
        <v>398</v>
      </c>
      <c r="D97">
        <v>406</v>
      </c>
      <c r="E97">
        <v>30984.02</v>
      </c>
      <c r="F97">
        <v>4.07</v>
      </c>
      <c r="G97">
        <v>92.1</v>
      </c>
    </row>
    <row r="98" spans="1:7" ht="14" x14ac:dyDescent="0.3">
      <c r="A98" t="s">
        <v>113</v>
      </c>
      <c r="B98" t="s">
        <v>8</v>
      </c>
      <c r="C98">
        <v>514</v>
      </c>
      <c r="D98">
        <v>620</v>
      </c>
      <c r="E98">
        <v>30370.23</v>
      </c>
      <c r="F98">
        <v>3.69</v>
      </c>
      <c r="G98">
        <v>95.2</v>
      </c>
    </row>
    <row r="99" spans="1:7" ht="14" x14ac:dyDescent="0.3">
      <c r="A99" t="s">
        <v>114</v>
      </c>
      <c r="B99" t="s">
        <v>87</v>
      </c>
      <c r="C99">
        <v>133</v>
      </c>
      <c r="D99">
        <v>133</v>
      </c>
      <c r="E99">
        <v>29901.67</v>
      </c>
      <c r="F99">
        <v>4.54</v>
      </c>
      <c r="G99">
        <v>99.2</v>
      </c>
    </row>
    <row r="100" spans="1:7" ht="14" x14ac:dyDescent="0.3">
      <c r="A100" t="s">
        <v>115</v>
      </c>
      <c r="B100" t="s">
        <v>8</v>
      </c>
      <c r="C100">
        <v>195</v>
      </c>
      <c r="D100">
        <v>200</v>
      </c>
      <c r="E100">
        <v>29618.46</v>
      </c>
      <c r="F100">
        <v>4.4400000000000004</v>
      </c>
      <c r="G100">
        <v>95</v>
      </c>
    </row>
    <row r="101" spans="1:7" ht="14" x14ac:dyDescent="0.3">
      <c r="A101" t="s">
        <v>116</v>
      </c>
      <c r="B101" t="s">
        <v>87</v>
      </c>
      <c r="C101">
        <v>44</v>
      </c>
      <c r="D101">
        <v>45</v>
      </c>
      <c r="E101">
        <v>29512.68</v>
      </c>
      <c r="F101">
        <v>4.16</v>
      </c>
      <c r="G101">
        <v>95.6</v>
      </c>
    </row>
    <row r="102" spans="1:7" ht="14" x14ac:dyDescent="0.3">
      <c r="A102" t="s">
        <v>117</v>
      </c>
      <c r="B102" t="s">
        <v>8</v>
      </c>
      <c r="C102">
        <v>155</v>
      </c>
      <c r="D102">
        <v>169</v>
      </c>
      <c r="E102">
        <v>29052.62</v>
      </c>
      <c r="F102">
        <v>4.16</v>
      </c>
      <c r="G102">
        <v>87.6</v>
      </c>
    </row>
    <row r="103" spans="1:7" ht="14" x14ac:dyDescent="0.3">
      <c r="A103" t="s">
        <v>118</v>
      </c>
      <c r="B103" t="s">
        <v>8</v>
      </c>
      <c r="C103">
        <v>161</v>
      </c>
      <c r="D103">
        <v>178</v>
      </c>
      <c r="E103">
        <v>28579.86</v>
      </c>
      <c r="F103">
        <v>4.3099999999999996</v>
      </c>
      <c r="G103">
        <v>93.3</v>
      </c>
    </row>
    <row r="104" spans="1:7" ht="14" x14ac:dyDescent="0.3">
      <c r="A104" t="s">
        <v>119</v>
      </c>
      <c r="B104" t="s">
        <v>8</v>
      </c>
      <c r="C104">
        <v>304</v>
      </c>
      <c r="D104">
        <v>413</v>
      </c>
      <c r="E104">
        <v>28258.33</v>
      </c>
      <c r="F104">
        <v>3.47</v>
      </c>
      <c r="G104">
        <v>88.9</v>
      </c>
    </row>
    <row r="105" spans="1:7" ht="14" x14ac:dyDescent="0.3">
      <c r="A105" t="s">
        <v>120</v>
      </c>
      <c r="B105" t="s">
        <v>8</v>
      </c>
      <c r="C105">
        <v>225</v>
      </c>
      <c r="D105">
        <v>242</v>
      </c>
      <c r="E105">
        <v>28148.06</v>
      </c>
      <c r="F105">
        <v>3.82</v>
      </c>
      <c r="G105">
        <v>93.4</v>
      </c>
    </row>
    <row r="106" spans="1:7" ht="14" x14ac:dyDescent="0.3">
      <c r="A106" t="s">
        <v>121</v>
      </c>
      <c r="B106" t="s">
        <v>8</v>
      </c>
      <c r="C106">
        <v>157</v>
      </c>
      <c r="D106">
        <v>176</v>
      </c>
      <c r="E106">
        <v>27865.8</v>
      </c>
      <c r="F106">
        <v>4.22</v>
      </c>
      <c r="G106">
        <v>89.2</v>
      </c>
    </row>
    <row r="107" spans="1:7" ht="14" x14ac:dyDescent="0.3">
      <c r="A107" t="s">
        <v>122</v>
      </c>
      <c r="B107" t="s">
        <v>32</v>
      </c>
      <c r="C107">
        <v>142</v>
      </c>
      <c r="D107">
        <v>171</v>
      </c>
      <c r="E107">
        <v>27729.16</v>
      </c>
      <c r="F107">
        <v>3.93</v>
      </c>
      <c r="G107">
        <v>96.5</v>
      </c>
    </row>
    <row r="108" spans="1:7" ht="14" x14ac:dyDescent="0.3">
      <c r="A108" t="s">
        <v>123</v>
      </c>
      <c r="B108" t="s">
        <v>24</v>
      </c>
      <c r="C108">
        <v>32</v>
      </c>
      <c r="D108">
        <v>32</v>
      </c>
      <c r="E108">
        <v>26790.59</v>
      </c>
      <c r="F108">
        <v>4.38</v>
      </c>
      <c r="G108">
        <v>90.6</v>
      </c>
    </row>
    <row r="109" spans="1:7" ht="14" x14ac:dyDescent="0.3">
      <c r="A109" t="s">
        <v>124</v>
      </c>
      <c r="B109" t="s">
        <v>42</v>
      </c>
      <c r="C109">
        <v>160</v>
      </c>
      <c r="D109">
        <v>171</v>
      </c>
      <c r="E109">
        <v>26550.63</v>
      </c>
      <c r="F109">
        <v>4.24</v>
      </c>
      <c r="G109">
        <v>96.5</v>
      </c>
    </row>
    <row r="110" spans="1:7" ht="14" x14ac:dyDescent="0.3">
      <c r="A110" t="s">
        <v>125</v>
      </c>
      <c r="B110" t="s">
        <v>22</v>
      </c>
      <c r="C110">
        <v>39</v>
      </c>
      <c r="D110">
        <v>39</v>
      </c>
      <c r="E110">
        <v>26368.49</v>
      </c>
      <c r="F110">
        <v>4.3</v>
      </c>
      <c r="G110">
        <v>94.9</v>
      </c>
    </row>
    <row r="111" spans="1:7" ht="14" x14ac:dyDescent="0.3">
      <c r="A111" s="1" t="s">
        <v>126</v>
      </c>
      <c r="B111" t="s">
        <v>32</v>
      </c>
      <c r="C111">
        <v>131</v>
      </c>
      <c r="D111">
        <v>137</v>
      </c>
      <c r="E111">
        <v>26111.91</v>
      </c>
      <c r="F111">
        <v>3.46</v>
      </c>
      <c r="G111">
        <v>96.4</v>
      </c>
    </row>
    <row r="112" spans="1:7" ht="14" x14ac:dyDescent="0.3">
      <c r="A112" t="s">
        <v>127</v>
      </c>
      <c r="B112" t="s">
        <v>8</v>
      </c>
      <c r="C112">
        <v>147</v>
      </c>
      <c r="D112">
        <v>180</v>
      </c>
      <c r="E112">
        <v>25495.8</v>
      </c>
      <c r="F112">
        <v>3.79</v>
      </c>
      <c r="G112">
        <v>88.3</v>
      </c>
    </row>
    <row r="113" spans="1:7" ht="14" x14ac:dyDescent="0.3">
      <c r="A113" t="s">
        <v>128</v>
      </c>
      <c r="B113" t="s">
        <v>87</v>
      </c>
      <c r="C113">
        <v>107</v>
      </c>
      <c r="D113">
        <v>110</v>
      </c>
      <c r="E113">
        <v>25372.080000000002</v>
      </c>
      <c r="F113">
        <v>4.43</v>
      </c>
      <c r="G113">
        <v>99.1</v>
      </c>
    </row>
    <row r="114" spans="1:7" ht="14" x14ac:dyDescent="0.3">
      <c r="A114" t="s">
        <v>129</v>
      </c>
      <c r="B114" t="s">
        <v>8</v>
      </c>
      <c r="C114">
        <v>184</v>
      </c>
      <c r="D114">
        <v>197</v>
      </c>
      <c r="E114">
        <v>25043.87</v>
      </c>
      <c r="F114">
        <v>3.92</v>
      </c>
      <c r="G114">
        <v>93.4</v>
      </c>
    </row>
    <row r="115" spans="1:7" ht="14" x14ac:dyDescent="0.3">
      <c r="A115" t="s">
        <v>130</v>
      </c>
      <c r="B115" t="s">
        <v>8</v>
      </c>
      <c r="C115">
        <v>151</v>
      </c>
      <c r="D115">
        <v>172</v>
      </c>
      <c r="E115">
        <v>24969.8</v>
      </c>
      <c r="F115">
        <v>4.12</v>
      </c>
      <c r="G115">
        <v>87.8</v>
      </c>
    </row>
    <row r="116" spans="1:7" ht="14" x14ac:dyDescent="0.3">
      <c r="A116" t="s">
        <v>131</v>
      </c>
      <c r="B116" t="s">
        <v>8</v>
      </c>
      <c r="C116">
        <v>94</v>
      </c>
      <c r="D116">
        <v>113</v>
      </c>
      <c r="E116">
        <v>24798.27</v>
      </c>
      <c r="F116">
        <v>4.33</v>
      </c>
      <c r="G116">
        <v>92</v>
      </c>
    </row>
    <row r="117" spans="1:7" ht="14" x14ac:dyDescent="0.3">
      <c r="A117" t="s">
        <v>132</v>
      </c>
      <c r="B117" t="s">
        <v>8</v>
      </c>
      <c r="C117">
        <v>52</v>
      </c>
      <c r="D117">
        <v>54</v>
      </c>
      <c r="E117">
        <v>24535.1</v>
      </c>
      <c r="F117">
        <v>4.3899999999999997</v>
      </c>
      <c r="G117">
        <v>100</v>
      </c>
    </row>
    <row r="118" spans="1:7" ht="14" x14ac:dyDescent="0.3">
      <c r="A118" t="s">
        <v>133</v>
      </c>
      <c r="B118" t="s">
        <v>8</v>
      </c>
      <c r="C118">
        <v>4</v>
      </c>
      <c r="D118">
        <v>15</v>
      </c>
      <c r="E118">
        <v>24487.599999999999</v>
      </c>
      <c r="F118">
        <v>1.4</v>
      </c>
      <c r="G118">
        <v>100</v>
      </c>
    </row>
    <row r="119" spans="1:7" ht="14" x14ac:dyDescent="0.3">
      <c r="A119" t="s">
        <v>134</v>
      </c>
      <c r="B119" t="s">
        <v>32</v>
      </c>
      <c r="C119">
        <v>78</v>
      </c>
      <c r="D119">
        <v>83</v>
      </c>
      <c r="E119">
        <v>24200.400000000001</v>
      </c>
      <c r="F119">
        <v>4.55</v>
      </c>
      <c r="G119">
        <v>98.8</v>
      </c>
    </row>
    <row r="120" spans="1:7" ht="14" x14ac:dyDescent="0.3">
      <c r="A120" t="s">
        <v>135</v>
      </c>
      <c r="B120" t="s">
        <v>38</v>
      </c>
      <c r="C120">
        <v>12</v>
      </c>
      <c r="D120">
        <v>12</v>
      </c>
      <c r="E120">
        <v>23823.99</v>
      </c>
      <c r="F120">
        <v>2.36</v>
      </c>
      <c r="G120">
        <v>91.7</v>
      </c>
    </row>
    <row r="121" spans="1:7" ht="14" x14ac:dyDescent="0.3">
      <c r="A121" t="s">
        <v>136</v>
      </c>
      <c r="B121" t="s">
        <v>87</v>
      </c>
      <c r="C121">
        <v>90</v>
      </c>
      <c r="D121">
        <v>93</v>
      </c>
      <c r="E121">
        <v>23800.32</v>
      </c>
      <c r="F121">
        <v>3.96</v>
      </c>
      <c r="G121">
        <v>100</v>
      </c>
    </row>
    <row r="122" spans="1:7" ht="14" x14ac:dyDescent="0.3">
      <c r="A122" t="s">
        <v>137</v>
      </c>
      <c r="B122" t="s">
        <v>8</v>
      </c>
      <c r="C122">
        <v>161</v>
      </c>
      <c r="D122">
        <v>193</v>
      </c>
      <c r="E122">
        <v>23766.42</v>
      </c>
      <c r="F122">
        <v>3.95</v>
      </c>
      <c r="G122">
        <v>91.2</v>
      </c>
    </row>
    <row r="123" spans="1:7" ht="14" x14ac:dyDescent="0.3">
      <c r="A123" t="s">
        <v>138</v>
      </c>
      <c r="B123" t="s">
        <v>8</v>
      </c>
      <c r="C123">
        <v>20</v>
      </c>
      <c r="D123">
        <v>20</v>
      </c>
      <c r="E123">
        <v>23695.200000000001</v>
      </c>
      <c r="F123">
        <v>3.65</v>
      </c>
      <c r="G123">
        <v>80</v>
      </c>
    </row>
    <row r="124" spans="1:7" ht="14" x14ac:dyDescent="0.3">
      <c r="A124" t="s">
        <v>139</v>
      </c>
      <c r="B124" t="s">
        <v>24</v>
      </c>
      <c r="C124">
        <v>499</v>
      </c>
      <c r="D124">
        <v>512</v>
      </c>
      <c r="E124">
        <v>23539.91</v>
      </c>
      <c r="F124">
        <v>4.21</v>
      </c>
      <c r="G124">
        <v>97.9</v>
      </c>
    </row>
    <row r="125" spans="1:7" ht="14" x14ac:dyDescent="0.3">
      <c r="A125" t="s">
        <v>140</v>
      </c>
      <c r="B125" t="s">
        <v>24</v>
      </c>
      <c r="C125">
        <v>92</v>
      </c>
      <c r="D125">
        <v>102</v>
      </c>
      <c r="E125">
        <v>23445.67</v>
      </c>
      <c r="F125">
        <v>3.16</v>
      </c>
      <c r="G125">
        <v>89.2</v>
      </c>
    </row>
    <row r="126" spans="1:7" ht="14" x14ac:dyDescent="0.3">
      <c r="A126" t="s">
        <v>141</v>
      </c>
      <c r="B126" t="s">
        <v>8</v>
      </c>
      <c r="C126">
        <v>135</v>
      </c>
      <c r="D126">
        <v>172</v>
      </c>
      <c r="E126">
        <v>23440.66</v>
      </c>
      <c r="F126">
        <v>4.33</v>
      </c>
      <c r="G126">
        <v>93.6</v>
      </c>
    </row>
    <row r="127" spans="1:7" ht="14" x14ac:dyDescent="0.3">
      <c r="A127" t="s">
        <v>142</v>
      </c>
      <c r="B127" t="s">
        <v>8</v>
      </c>
      <c r="C127">
        <v>32</v>
      </c>
      <c r="D127">
        <v>32</v>
      </c>
      <c r="E127">
        <v>23272.78</v>
      </c>
      <c r="F127">
        <v>4.3899999999999997</v>
      </c>
      <c r="G127">
        <v>90.6</v>
      </c>
    </row>
    <row r="128" spans="1:7" ht="14" x14ac:dyDescent="0.3">
      <c r="A128" t="s">
        <v>143</v>
      </c>
      <c r="B128" t="s">
        <v>8</v>
      </c>
      <c r="C128">
        <v>123</v>
      </c>
      <c r="D128">
        <v>125</v>
      </c>
      <c r="E128">
        <v>23192.18</v>
      </c>
      <c r="F128">
        <v>4.26</v>
      </c>
      <c r="G128">
        <v>94.4</v>
      </c>
    </row>
    <row r="129" spans="1:7" ht="14" x14ac:dyDescent="0.3">
      <c r="A129" t="s">
        <v>144</v>
      </c>
      <c r="B129" t="s">
        <v>8</v>
      </c>
      <c r="C129">
        <v>156</v>
      </c>
      <c r="D129">
        <v>168</v>
      </c>
      <c r="E129">
        <v>23094.02</v>
      </c>
      <c r="F129">
        <v>4.16</v>
      </c>
      <c r="G129">
        <v>94</v>
      </c>
    </row>
    <row r="130" spans="1:7" ht="14" x14ac:dyDescent="0.3">
      <c r="A130" t="s">
        <v>145</v>
      </c>
      <c r="B130" t="s">
        <v>87</v>
      </c>
      <c r="C130">
        <v>57</v>
      </c>
      <c r="D130">
        <v>60</v>
      </c>
      <c r="E130">
        <v>22983.87</v>
      </c>
      <c r="F130">
        <v>4.28</v>
      </c>
      <c r="G130">
        <v>96.7</v>
      </c>
    </row>
    <row r="131" spans="1:7" ht="14" x14ac:dyDescent="0.3">
      <c r="A131" t="s">
        <v>146</v>
      </c>
      <c r="B131" t="s">
        <v>87</v>
      </c>
      <c r="C131">
        <v>55</v>
      </c>
      <c r="D131">
        <v>58</v>
      </c>
      <c r="E131">
        <v>22570.13</v>
      </c>
      <c r="F131">
        <v>4.12</v>
      </c>
      <c r="G131">
        <v>94.8</v>
      </c>
    </row>
    <row r="132" spans="1:7" ht="14" x14ac:dyDescent="0.3">
      <c r="A132" t="s">
        <v>147</v>
      </c>
      <c r="B132" t="s">
        <v>32</v>
      </c>
      <c r="C132">
        <v>195</v>
      </c>
      <c r="D132">
        <v>230</v>
      </c>
      <c r="E132">
        <v>22449.01</v>
      </c>
      <c r="F132">
        <v>3.8</v>
      </c>
      <c r="G132">
        <v>94.3</v>
      </c>
    </row>
    <row r="133" spans="1:7" ht="14" x14ac:dyDescent="0.3">
      <c r="A133" t="s">
        <v>148</v>
      </c>
      <c r="B133" t="s">
        <v>8</v>
      </c>
      <c r="C133">
        <v>66</v>
      </c>
      <c r="D133">
        <v>89</v>
      </c>
      <c r="E133">
        <v>22151.83</v>
      </c>
      <c r="F133">
        <v>3.82</v>
      </c>
      <c r="G133">
        <v>98.9</v>
      </c>
    </row>
    <row r="134" spans="1:7" ht="14" x14ac:dyDescent="0.3">
      <c r="A134" t="s">
        <v>149</v>
      </c>
      <c r="B134" t="s">
        <v>8</v>
      </c>
      <c r="C134">
        <v>14</v>
      </c>
      <c r="D134">
        <v>14</v>
      </c>
      <c r="E134">
        <v>21924.25</v>
      </c>
      <c r="F134">
        <v>1.93</v>
      </c>
      <c r="G134">
        <v>35.700000000000003</v>
      </c>
    </row>
    <row r="135" spans="1:7" ht="14" x14ac:dyDescent="0.3">
      <c r="A135" t="s">
        <v>150</v>
      </c>
      <c r="B135" t="s">
        <v>8</v>
      </c>
      <c r="C135">
        <v>114</v>
      </c>
      <c r="D135">
        <v>115</v>
      </c>
      <c r="E135">
        <v>21861.41</v>
      </c>
      <c r="F135">
        <v>4.32</v>
      </c>
      <c r="G135">
        <v>94.8</v>
      </c>
    </row>
    <row r="136" spans="1:7" ht="14" x14ac:dyDescent="0.3">
      <c r="A136" t="s">
        <v>151</v>
      </c>
      <c r="B136" t="s">
        <v>152</v>
      </c>
      <c r="C136">
        <v>142</v>
      </c>
      <c r="D136">
        <v>151</v>
      </c>
      <c r="E136">
        <v>21519.49</v>
      </c>
      <c r="F136">
        <v>3.75</v>
      </c>
      <c r="G136">
        <v>95.4</v>
      </c>
    </row>
    <row r="137" spans="1:7" ht="14" x14ac:dyDescent="0.3">
      <c r="A137" t="s">
        <v>153</v>
      </c>
      <c r="B137" t="s">
        <v>32</v>
      </c>
      <c r="C137">
        <v>527</v>
      </c>
      <c r="D137">
        <v>554</v>
      </c>
      <c r="E137">
        <v>21475.54</v>
      </c>
      <c r="F137">
        <v>4.2</v>
      </c>
      <c r="G137">
        <v>95.7</v>
      </c>
    </row>
    <row r="138" spans="1:7" ht="14" x14ac:dyDescent="0.3">
      <c r="A138" t="s">
        <v>154</v>
      </c>
      <c r="B138" t="s">
        <v>24</v>
      </c>
      <c r="C138">
        <v>180</v>
      </c>
      <c r="D138">
        <v>218</v>
      </c>
      <c r="E138">
        <v>21300.74</v>
      </c>
      <c r="F138">
        <v>4.0599999999999996</v>
      </c>
      <c r="G138">
        <v>95.4</v>
      </c>
    </row>
    <row r="139" spans="1:7" ht="14" x14ac:dyDescent="0.3">
      <c r="A139" t="s">
        <v>155</v>
      </c>
      <c r="B139" t="s">
        <v>32</v>
      </c>
      <c r="C139">
        <v>64</v>
      </c>
      <c r="D139">
        <v>69</v>
      </c>
      <c r="E139">
        <v>20455.29</v>
      </c>
      <c r="F139">
        <v>4.12</v>
      </c>
      <c r="G139">
        <v>97.1</v>
      </c>
    </row>
    <row r="140" spans="1:7" ht="14" x14ac:dyDescent="0.3">
      <c r="A140" t="s">
        <v>156</v>
      </c>
      <c r="B140" t="s">
        <v>8</v>
      </c>
      <c r="C140">
        <v>198</v>
      </c>
      <c r="D140">
        <v>202</v>
      </c>
      <c r="E140">
        <v>20418.03</v>
      </c>
      <c r="F140">
        <v>4.37</v>
      </c>
      <c r="G140">
        <v>92.6</v>
      </c>
    </row>
    <row r="141" spans="1:7" ht="14" x14ac:dyDescent="0.3">
      <c r="A141" t="s">
        <v>157</v>
      </c>
      <c r="B141" t="s">
        <v>8</v>
      </c>
      <c r="C141">
        <v>304</v>
      </c>
      <c r="D141">
        <v>337</v>
      </c>
      <c r="E141">
        <v>20383.009999999998</v>
      </c>
      <c r="F141">
        <v>4.45</v>
      </c>
      <c r="G141">
        <v>95</v>
      </c>
    </row>
    <row r="142" spans="1:7" ht="14" x14ac:dyDescent="0.3">
      <c r="A142" t="s">
        <v>158</v>
      </c>
      <c r="B142" t="s">
        <v>8</v>
      </c>
      <c r="C142">
        <v>214</v>
      </c>
      <c r="D142">
        <v>237</v>
      </c>
      <c r="E142">
        <v>20330.52</v>
      </c>
      <c r="F142">
        <v>4.08</v>
      </c>
      <c r="G142">
        <v>88.2</v>
      </c>
    </row>
    <row r="143" spans="1:7" ht="14" x14ac:dyDescent="0.3">
      <c r="A143" t="s">
        <v>159</v>
      </c>
      <c r="B143" t="s">
        <v>8</v>
      </c>
      <c r="C143">
        <v>122</v>
      </c>
      <c r="D143">
        <v>129</v>
      </c>
      <c r="E143">
        <v>20279.86</v>
      </c>
      <c r="F143">
        <v>3.91</v>
      </c>
      <c r="G143">
        <v>82.2</v>
      </c>
    </row>
    <row r="144" spans="1:7" ht="14" x14ac:dyDescent="0.3">
      <c r="A144" t="s">
        <v>160</v>
      </c>
      <c r="B144" t="s">
        <v>8</v>
      </c>
      <c r="C144">
        <v>63</v>
      </c>
      <c r="D144">
        <v>64</v>
      </c>
      <c r="E144">
        <v>20181.23</v>
      </c>
      <c r="F144">
        <v>4.03</v>
      </c>
      <c r="G144">
        <v>93.8</v>
      </c>
    </row>
    <row r="145" spans="1:7" ht="14" x14ac:dyDescent="0.3">
      <c r="A145" t="s">
        <v>161</v>
      </c>
      <c r="B145" t="s">
        <v>8</v>
      </c>
      <c r="C145">
        <v>187</v>
      </c>
      <c r="D145">
        <v>223</v>
      </c>
      <c r="E145">
        <v>20064.52</v>
      </c>
      <c r="F145">
        <v>4.24</v>
      </c>
      <c r="G145">
        <v>95.5</v>
      </c>
    </row>
    <row r="146" spans="1:7" ht="14" x14ac:dyDescent="0.3">
      <c r="A146" t="s">
        <v>162</v>
      </c>
      <c r="B146" t="s">
        <v>8</v>
      </c>
      <c r="C146">
        <v>90</v>
      </c>
      <c r="D146">
        <v>92</v>
      </c>
      <c r="E146">
        <v>20005.36</v>
      </c>
      <c r="F146">
        <v>4.4800000000000004</v>
      </c>
      <c r="G146">
        <v>90.2</v>
      </c>
    </row>
    <row r="147" spans="1:7" ht="14" x14ac:dyDescent="0.3">
      <c r="A147" t="s">
        <v>163</v>
      </c>
      <c r="B147" t="s">
        <v>8</v>
      </c>
      <c r="C147">
        <v>122</v>
      </c>
      <c r="D147">
        <v>139</v>
      </c>
      <c r="E147">
        <v>19924.07</v>
      </c>
      <c r="F147">
        <v>4.3099999999999996</v>
      </c>
      <c r="G147">
        <v>97.1</v>
      </c>
    </row>
    <row r="148" spans="1:7" ht="14" x14ac:dyDescent="0.3">
      <c r="A148" t="s">
        <v>164</v>
      </c>
      <c r="B148" t="s">
        <v>42</v>
      </c>
      <c r="C148">
        <v>114</v>
      </c>
      <c r="D148">
        <v>128</v>
      </c>
      <c r="E148">
        <v>19894.259999999998</v>
      </c>
      <c r="F148">
        <v>3.72</v>
      </c>
      <c r="G148">
        <v>96.1</v>
      </c>
    </row>
    <row r="149" spans="1:7" ht="14" x14ac:dyDescent="0.3">
      <c r="A149" t="s">
        <v>165</v>
      </c>
      <c r="B149" t="s">
        <v>42</v>
      </c>
      <c r="C149">
        <v>178</v>
      </c>
      <c r="D149">
        <v>208</v>
      </c>
      <c r="E149">
        <v>19799.95</v>
      </c>
      <c r="F149">
        <v>4.03</v>
      </c>
      <c r="G149">
        <v>98.1</v>
      </c>
    </row>
    <row r="150" spans="1:7" ht="14" x14ac:dyDescent="0.3">
      <c r="A150" t="s">
        <v>166</v>
      </c>
      <c r="B150" t="s">
        <v>42</v>
      </c>
      <c r="C150">
        <v>72</v>
      </c>
      <c r="D150">
        <v>81</v>
      </c>
      <c r="E150">
        <v>19282.41</v>
      </c>
      <c r="F150">
        <v>4.53</v>
      </c>
      <c r="G150">
        <v>96.3</v>
      </c>
    </row>
    <row r="151" spans="1:7" ht="14" x14ac:dyDescent="0.3">
      <c r="A151" t="s">
        <v>167</v>
      </c>
      <c r="B151" t="s">
        <v>8</v>
      </c>
      <c r="C151">
        <v>24</v>
      </c>
      <c r="D151">
        <v>25</v>
      </c>
      <c r="E151">
        <v>19217.169999999998</v>
      </c>
      <c r="F151">
        <v>3.5</v>
      </c>
      <c r="G151">
        <v>68</v>
      </c>
    </row>
    <row r="152" spans="1:7" ht="14" x14ac:dyDescent="0.3">
      <c r="A152" t="s">
        <v>168</v>
      </c>
      <c r="B152" t="s">
        <v>8</v>
      </c>
      <c r="C152">
        <v>57</v>
      </c>
      <c r="D152">
        <v>57</v>
      </c>
      <c r="E152">
        <v>19188.009999999998</v>
      </c>
      <c r="F152">
        <v>4.37</v>
      </c>
      <c r="G152">
        <v>94.7</v>
      </c>
    </row>
    <row r="153" spans="1:7" ht="14" x14ac:dyDescent="0.3">
      <c r="A153" t="s">
        <v>169</v>
      </c>
      <c r="B153" t="s">
        <v>8</v>
      </c>
      <c r="C153">
        <v>217</v>
      </c>
      <c r="D153">
        <v>221</v>
      </c>
      <c r="E153">
        <v>19173.849999999999</v>
      </c>
      <c r="F153">
        <v>4.3499999999999996</v>
      </c>
      <c r="G153">
        <v>94.1</v>
      </c>
    </row>
    <row r="154" spans="1:7" ht="14" x14ac:dyDescent="0.3">
      <c r="A154" t="s">
        <v>170</v>
      </c>
      <c r="B154" t="s">
        <v>32</v>
      </c>
      <c r="C154">
        <v>50</v>
      </c>
      <c r="D154">
        <v>64</v>
      </c>
      <c r="E154">
        <v>19081.43</v>
      </c>
      <c r="F154">
        <v>3.69</v>
      </c>
      <c r="G154">
        <v>90.6</v>
      </c>
    </row>
    <row r="155" spans="1:7" ht="14" x14ac:dyDescent="0.3">
      <c r="A155" t="s">
        <v>171</v>
      </c>
      <c r="B155" t="s">
        <v>8</v>
      </c>
      <c r="C155">
        <v>258</v>
      </c>
      <c r="D155">
        <v>343</v>
      </c>
      <c r="E155">
        <v>18828.71</v>
      </c>
      <c r="F155">
        <v>3.76</v>
      </c>
      <c r="G155">
        <v>91.5</v>
      </c>
    </row>
    <row r="156" spans="1:7" ht="14" x14ac:dyDescent="0.3">
      <c r="A156" t="s">
        <v>172</v>
      </c>
      <c r="B156" t="s">
        <v>12</v>
      </c>
      <c r="C156">
        <v>21</v>
      </c>
      <c r="D156">
        <v>22</v>
      </c>
      <c r="E156">
        <v>18733.18</v>
      </c>
      <c r="F156">
        <v>4.45</v>
      </c>
      <c r="G156">
        <v>100</v>
      </c>
    </row>
    <row r="157" spans="1:7" ht="14" x14ac:dyDescent="0.3">
      <c r="A157" t="s">
        <v>173</v>
      </c>
      <c r="B157" t="s">
        <v>32</v>
      </c>
      <c r="C157">
        <v>133</v>
      </c>
      <c r="D157">
        <v>140</v>
      </c>
      <c r="E157">
        <v>18730.52</v>
      </c>
      <c r="F157">
        <v>4.01</v>
      </c>
      <c r="G157">
        <v>95.7</v>
      </c>
    </row>
    <row r="158" spans="1:7" ht="14" x14ac:dyDescent="0.3">
      <c r="A158" s="1" t="s">
        <v>174</v>
      </c>
      <c r="B158" t="s">
        <v>87</v>
      </c>
      <c r="C158">
        <v>68</v>
      </c>
      <c r="D158">
        <v>76</v>
      </c>
      <c r="E158">
        <v>18715.650000000001</v>
      </c>
      <c r="F158">
        <v>4.33</v>
      </c>
      <c r="G158">
        <v>96.1</v>
      </c>
    </row>
    <row r="159" spans="1:7" ht="14" x14ac:dyDescent="0.3">
      <c r="A159" t="s">
        <v>175</v>
      </c>
      <c r="B159" t="s">
        <v>32</v>
      </c>
      <c r="C159">
        <v>53</v>
      </c>
      <c r="D159">
        <v>54</v>
      </c>
      <c r="E159">
        <v>18672.75</v>
      </c>
      <c r="F159">
        <v>4.1100000000000003</v>
      </c>
      <c r="G159">
        <v>90.7</v>
      </c>
    </row>
    <row r="160" spans="1:7" ht="14" x14ac:dyDescent="0.3">
      <c r="A160" t="s">
        <v>176</v>
      </c>
      <c r="B160" t="s">
        <v>8</v>
      </c>
      <c r="C160">
        <v>152</v>
      </c>
      <c r="D160">
        <v>190</v>
      </c>
      <c r="E160">
        <v>18486.96</v>
      </c>
      <c r="F160">
        <v>3.82</v>
      </c>
      <c r="G160">
        <v>92.6</v>
      </c>
    </row>
    <row r="161" spans="1:7" ht="14" x14ac:dyDescent="0.3">
      <c r="A161" t="s">
        <v>177</v>
      </c>
      <c r="B161" t="s">
        <v>22</v>
      </c>
      <c r="C161">
        <v>128</v>
      </c>
      <c r="D161">
        <v>139</v>
      </c>
      <c r="E161">
        <v>18404.78</v>
      </c>
      <c r="F161">
        <v>4.37</v>
      </c>
      <c r="G161">
        <v>92.8</v>
      </c>
    </row>
    <row r="162" spans="1:7" ht="14" x14ac:dyDescent="0.3">
      <c r="A162" t="s">
        <v>178</v>
      </c>
      <c r="B162" t="s">
        <v>24</v>
      </c>
      <c r="C162">
        <v>155</v>
      </c>
      <c r="D162">
        <v>159</v>
      </c>
      <c r="E162">
        <v>18265.72</v>
      </c>
      <c r="F162">
        <v>4.3600000000000003</v>
      </c>
      <c r="G162">
        <v>97.5</v>
      </c>
    </row>
    <row r="163" spans="1:7" ht="14" x14ac:dyDescent="0.3">
      <c r="A163" t="s">
        <v>179</v>
      </c>
      <c r="B163" t="s">
        <v>8</v>
      </c>
      <c r="C163">
        <v>388</v>
      </c>
      <c r="D163">
        <v>419</v>
      </c>
      <c r="E163">
        <v>17991.89</v>
      </c>
      <c r="F163">
        <v>3.92</v>
      </c>
      <c r="G163">
        <v>95.5</v>
      </c>
    </row>
    <row r="164" spans="1:7" ht="14" x14ac:dyDescent="0.3">
      <c r="A164" t="s">
        <v>180</v>
      </c>
      <c r="B164" t="s">
        <v>8</v>
      </c>
      <c r="C164">
        <v>106</v>
      </c>
      <c r="D164">
        <v>134</v>
      </c>
      <c r="E164">
        <v>17955.5</v>
      </c>
      <c r="F164">
        <v>4.01</v>
      </c>
      <c r="G164">
        <v>95.5</v>
      </c>
    </row>
    <row r="165" spans="1:7" ht="14" x14ac:dyDescent="0.3">
      <c r="A165" t="s">
        <v>181</v>
      </c>
      <c r="B165" t="s">
        <v>22</v>
      </c>
      <c r="C165">
        <v>49</v>
      </c>
      <c r="D165">
        <v>49</v>
      </c>
      <c r="E165">
        <v>17947.55</v>
      </c>
      <c r="F165">
        <v>3.96</v>
      </c>
      <c r="G165">
        <v>83.7</v>
      </c>
    </row>
    <row r="166" spans="1:7" ht="14" x14ac:dyDescent="0.3">
      <c r="A166" t="s">
        <v>182</v>
      </c>
      <c r="B166" t="s">
        <v>24</v>
      </c>
      <c r="C166">
        <v>118</v>
      </c>
      <c r="D166">
        <v>145</v>
      </c>
      <c r="E166">
        <v>17779.71</v>
      </c>
      <c r="F166">
        <v>3.64</v>
      </c>
      <c r="G166">
        <v>97.9</v>
      </c>
    </row>
    <row r="167" spans="1:7" ht="14" x14ac:dyDescent="0.3">
      <c r="A167" t="s">
        <v>183</v>
      </c>
      <c r="B167" t="s">
        <v>42</v>
      </c>
      <c r="C167">
        <v>65</v>
      </c>
      <c r="D167">
        <v>65</v>
      </c>
      <c r="E167">
        <v>17766.34</v>
      </c>
      <c r="F167">
        <v>4.45</v>
      </c>
      <c r="G167">
        <v>100</v>
      </c>
    </row>
    <row r="168" spans="1:7" ht="14" x14ac:dyDescent="0.3">
      <c r="A168" t="s">
        <v>184</v>
      </c>
      <c r="B168" t="s">
        <v>32</v>
      </c>
      <c r="C168">
        <v>128</v>
      </c>
      <c r="D168">
        <v>130</v>
      </c>
      <c r="E168">
        <v>17532.79</v>
      </c>
      <c r="F168">
        <v>4.37</v>
      </c>
      <c r="G168">
        <v>94.6</v>
      </c>
    </row>
    <row r="169" spans="1:7" ht="14" x14ac:dyDescent="0.3">
      <c r="A169" t="s">
        <v>185</v>
      </c>
      <c r="B169" t="s">
        <v>8</v>
      </c>
      <c r="C169">
        <v>64</v>
      </c>
      <c r="D169">
        <v>73</v>
      </c>
      <c r="E169">
        <v>17508.810000000001</v>
      </c>
      <c r="F169">
        <v>3.8</v>
      </c>
      <c r="G169">
        <v>93.2</v>
      </c>
    </row>
    <row r="170" spans="1:7" ht="14" x14ac:dyDescent="0.3">
      <c r="A170" t="s">
        <v>186</v>
      </c>
      <c r="B170" t="s">
        <v>24</v>
      </c>
      <c r="C170">
        <v>150</v>
      </c>
      <c r="D170">
        <v>155</v>
      </c>
      <c r="E170">
        <v>17464.93</v>
      </c>
      <c r="F170">
        <v>4.47</v>
      </c>
      <c r="G170">
        <v>92.9</v>
      </c>
    </row>
    <row r="171" spans="1:7" ht="14" x14ac:dyDescent="0.3">
      <c r="A171" t="s">
        <v>187</v>
      </c>
      <c r="B171" t="s">
        <v>24</v>
      </c>
      <c r="C171">
        <v>77</v>
      </c>
      <c r="D171">
        <v>77</v>
      </c>
      <c r="E171">
        <v>17403.810000000001</v>
      </c>
      <c r="F171">
        <v>4.5599999999999996</v>
      </c>
      <c r="G171">
        <v>98.7</v>
      </c>
    </row>
    <row r="172" spans="1:7" ht="14" x14ac:dyDescent="0.3">
      <c r="A172" t="s">
        <v>188</v>
      </c>
      <c r="B172" t="s">
        <v>42</v>
      </c>
      <c r="C172">
        <v>111</v>
      </c>
      <c r="D172">
        <v>115</v>
      </c>
      <c r="E172">
        <v>17396.990000000002</v>
      </c>
      <c r="F172">
        <v>4.1399999999999997</v>
      </c>
      <c r="G172">
        <v>95.7</v>
      </c>
    </row>
    <row r="173" spans="1:7" ht="14" x14ac:dyDescent="0.3">
      <c r="A173" t="s">
        <v>189</v>
      </c>
      <c r="B173" t="s">
        <v>24</v>
      </c>
      <c r="C173">
        <v>148</v>
      </c>
      <c r="D173">
        <v>155</v>
      </c>
      <c r="E173">
        <v>17296.18</v>
      </c>
      <c r="F173">
        <v>4.46</v>
      </c>
      <c r="G173">
        <v>98.1</v>
      </c>
    </row>
    <row r="174" spans="1:7" ht="14" x14ac:dyDescent="0.3">
      <c r="A174" t="s">
        <v>190</v>
      </c>
      <c r="B174" t="s">
        <v>8</v>
      </c>
      <c r="C174">
        <v>120</v>
      </c>
      <c r="D174">
        <v>124</v>
      </c>
      <c r="E174">
        <v>17156.43</v>
      </c>
      <c r="F174">
        <v>3.97</v>
      </c>
      <c r="G174">
        <v>92.7</v>
      </c>
    </row>
    <row r="175" spans="1:7" ht="14" x14ac:dyDescent="0.3">
      <c r="A175" t="s">
        <v>191</v>
      </c>
      <c r="B175" t="s">
        <v>8</v>
      </c>
      <c r="C175">
        <v>12</v>
      </c>
      <c r="D175">
        <v>12</v>
      </c>
      <c r="E175">
        <v>17057.28</v>
      </c>
      <c r="F175">
        <v>4.25</v>
      </c>
      <c r="G175">
        <v>91.7</v>
      </c>
    </row>
    <row r="176" spans="1:7" ht="14" x14ac:dyDescent="0.3">
      <c r="A176" t="s">
        <v>192</v>
      </c>
      <c r="B176" t="s">
        <v>24</v>
      </c>
      <c r="C176">
        <v>100</v>
      </c>
      <c r="D176">
        <v>109</v>
      </c>
      <c r="E176">
        <v>17022.37</v>
      </c>
      <c r="F176">
        <v>4.13</v>
      </c>
      <c r="G176">
        <v>97.2</v>
      </c>
    </row>
    <row r="177" spans="1:7" ht="14" x14ac:dyDescent="0.3">
      <c r="A177" t="s">
        <v>193</v>
      </c>
      <c r="B177" t="s">
        <v>8</v>
      </c>
      <c r="C177">
        <v>127</v>
      </c>
      <c r="D177">
        <v>137</v>
      </c>
      <c r="E177">
        <v>16782.16</v>
      </c>
      <c r="F177">
        <v>4.04</v>
      </c>
      <c r="G177">
        <v>88.3</v>
      </c>
    </row>
    <row r="178" spans="1:7" ht="14" x14ac:dyDescent="0.3">
      <c r="A178" t="s">
        <v>194</v>
      </c>
      <c r="B178" t="s">
        <v>8</v>
      </c>
      <c r="C178">
        <v>164</v>
      </c>
      <c r="D178">
        <v>174</v>
      </c>
      <c r="E178">
        <v>16645.259999999998</v>
      </c>
      <c r="F178">
        <v>3.93</v>
      </c>
      <c r="G178">
        <v>93.7</v>
      </c>
    </row>
    <row r="179" spans="1:7" ht="14" x14ac:dyDescent="0.3">
      <c r="A179" t="s">
        <v>195</v>
      </c>
      <c r="B179" t="s">
        <v>24</v>
      </c>
      <c r="C179">
        <v>46</v>
      </c>
      <c r="D179">
        <v>56</v>
      </c>
      <c r="E179">
        <v>16575.47</v>
      </c>
      <c r="F179">
        <v>4.3</v>
      </c>
      <c r="G179">
        <v>98.2</v>
      </c>
    </row>
    <row r="180" spans="1:7" ht="14" x14ac:dyDescent="0.3">
      <c r="A180" t="s">
        <v>196</v>
      </c>
      <c r="B180" t="s">
        <v>8</v>
      </c>
      <c r="C180">
        <v>27</v>
      </c>
      <c r="D180">
        <v>29</v>
      </c>
      <c r="E180">
        <v>16562.87</v>
      </c>
      <c r="F180">
        <v>4.3099999999999996</v>
      </c>
      <c r="G180">
        <v>89.7</v>
      </c>
    </row>
    <row r="181" spans="1:7" ht="14" x14ac:dyDescent="0.3">
      <c r="A181" t="s">
        <v>197</v>
      </c>
      <c r="B181" t="s">
        <v>8</v>
      </c>
      <c r="C181">
        <v>28</v>
      </c>
      <c r="D181">
        <v>33</v>
      </c>
      <c r="E181">
        <v>16513.310000000001</v>
      </c>
      <c r="F181">
        <v>4.7</v>
      </c>
      <c r="G181">
        <v>97</v>
      </c>
    </row>
    <row r="182" spans="1:7" ht="14" x14ac:dyDescent="0.3">
      <c r="A182" t="s">
        <v>198</v>
      </c>
      <c r="B182" t="s">
        <v>42</v>
      </c>
      <c r="C182">
        <v>161</v>
      </c>
      <c r="D182">
        <v>185</v>
      </c>
      <c r="E182">
        <v>16485.2</v>
      </c>
      <c r="F182">
        <v>4.1500000000000004</v>
      </c>
      <c r="G182">
        <v>96.2</v>
      </c>
    </row>
    <row r="183" spans="1:7" ht="14" x14ac:dyDescent="0.3">
      <c r="A183" t="s">
        <v>199</v>
      </c>
      <c r="B183" t="s">
        <v>24</v>
      </c>
      <c r="C183">
        <v>41</v>
      </c>
      <c r="D183">
        <v>42</v>
      </c>
      <c r="E183">
        <v>16341.48</v>
      </c>
      <c r="F183">
        <v>4.2</v>
      </c>
      <c r="G183">
        <v>92.9</v>
      </c>
    </row>
    <row r="184" spans="1:7" ht="14" x14ac:dyDescent="0.3">
      <c r="A184" t="s">
        <v>200</v>
      </c>
      <c r="B184" t="s">
        <v>8</v>
      </c>
      <c r="C184">
        <v>129</v>
      </c>
      <c r="D184">
        <v>143</v>
      </c>
      <c r="E184">
        <v>16240.83</v>
      </c>
      <c r="F184">
        <v>4.03</v>
      </c>
      <c r="G184">
        <v>91.6</v>
      </c>
    </row>
    <row r="185" spans="1:7" ht="14" x14ac:dyDescent="0.3">
      <c r="A185" t="s">
        <v>201</v>
      </c>
      <c r="B185" t="s">
        <v>8</v>
      </c>
      <c r="C185">
        <v>101</v>
      </c>
      <c r="D185">
        <v>118</v>
      </c>
      <c r="E185">
        <v>16164.88</v>
      </c>
      <c r="F185">
        <v>3.95</v>
      </c>
      <c r="G185">
        <v>93.2</v>
      </c>
    </row>
    <row r="186" spans="1:7" ht="14" x14ac:dyDescent="0.3">
      <c r="A186" t="s">
        <v>202</v>
      </c>
      <c r="B186" t="s">
        <v>8</v>
      </c>
      <c r="C186">
        <v>143</v>
      </c>
      <c r="D186">
        <v>179</v>
      </c>
      <c r="E186">
        <v>15970.7</v>
      </c>
      <c r="F186">
        <v>4.03</v>
      </c>
      <c r="G186">
        <v>91.1</v>
      </c>
    </row>
    <row r="187" spans="1:7" ht="14" x14ac:dyDescent="0.3">
      <c r="A187" t="s">
        <v>203</v>
      </c>
      <c r="B187" t="s">
        <v>8</v>
      </c>
      <c r="C187">
        <v>125</v>
      </c>
      <c r="D187">
        <v>141</v>
      </c>
      <c r="E187">
        <v>15928.04</v>
      </c>
      <c r="F187">
        <v>3.92</v>
      </c>
      <c r="G187">
        <v>89.4</v>
      </c>
    </row>
    <row r="188" spans="1:7" ht="14" x14ac:dyDescent="0.3">
      <c r="A188" t="s">
        <v>204</v>
      </c>
      <c r="B188" t="s">
        <v>8</v>
      </c>
      <c r="C188">
        <v>20</v>
      </c>
      <c r="D188">
        <v>20</v>
      </c>
      <c r="E188">
        <v>15902.16</v>
      </c>
      <c r="F188">
        <v>4.3499999999999996</v>
      </c>
      <c r="G188">
        <v>100</v>
      </c>
    </row>
    <row r="189" spans="1:7" ht="14" x14ac:dyDescent="0.3">
      <c r="A189" t="s">
        <v>205</v>
      </c>
      <c r="B189" t="s">
        <v>8</v>
      </c>
      <c r="C189">
        <v>205</v>
      </c>
      <c r="D189">
        <v>216</v>
      </c>
      <c r="E189">
        <v>15872.28</v>
      </c>
      <c r="F189">
        <v>4.3899999999999997</v>
      </c>
      <c r="G189">
        <v>95.8</v>
      </c>
    </row>
    <row r="190" spans="1:7" ht="14" x14ac:dyDescent="0.3">
      <c r="A190" s="1" t="s">
        <v>206</v>
      </c>
      <c r="B190" t="s">
        <v>8</v>
      </c>
      <c r="C190">
        <v>63</v>
      </c>
      <c r="D190">
        <v>74</v>
      </c>
      <c r="E190">
        <v>15835.52</v>
      </c>
      <c r="F190">
        <v>3.86</v>
      </c>
      <c r="G190">
        <v>78.400000000000006</v>
      </c>
    </row>
    <row r="191" spans="1:7" ht="14" x14ac:dyDescent="0.3">
      <c r="A191" t="s">
        <v>207</v>
      </c>
      <c r="B191" t="s">
        <v>8</v>
      </c>
      <c r="C191">
        <v>84</v>
      </c>
      <c r="D191">
        <v>129</v>
      </c>
      <c r="E191">
        <v>15793.35</v>
      </c>
      <c r="F191">
        <v>2.99</v>
      </c>
      <c r="G191">
        <v>89.9</v>
      </c>
    </row>
    <row r="192" spans="1:7" ht="14" x14ac:dyDescent="0.3">
      <c r="A192" t="s">
        <v>208</v>
      </c>
      <c r="B192" t="s">
        <v>32</v>
      </c>
      <c r="C192">
        <v>53</v>
      </c>
      <c r="D192">
        <v>54</v>
      </c>
      <c r="E192">
        <v>15785.77</v>
      </c>
      <c r="F192">
        <v>4.57</v>
      </c>
      <c r="G192">
        <v>98.1</v>
      </c>
    </row>
    <row r="193" spans="1:7" ht="14" x14ac:dyDescent="0.3">
      <c r="A193" t="s">
        <v>209</v>
      </c>
      <c r="B193" t="s">
        <v>8</v>
      </c>
      <c r="C193">
        <v>76</v>
      </c>
      <c r="D193">
        <v>77</v>
      </c>
      <c r="E193">
        <v>15692.65</v>
      </c>
      <c r="F193">
        <v>4.1100000000000003</v>
      </c>
      <c r="G193">
        <v>94.8</v>
      </c>
    </row>
    <row r="194" spans="1:7" ht="14" x14ac:dyDescent="0.3">
      <c r="A194" t="s">
        <v>210</v>
      </c>
      <c r="B194" t="s">
        <v>8</v>
      </c>
      <c r="C194">
        <v>74</v>
      </c>
      <c r="D194">
        <v>111</v>
      </c>
      <c r="E194">
        <v>15650.89</v>
      </c>
      <c r="F194">
        <v>3.75</v>
      </c>
      <c r="G194">
        <v>96.4</v>
      </c>
    </row>
    <row r="195" spans="1:7" ht="14" x14ac:dyDescent="0.3">
      <c r="A195" t="s">
        <v>211</v>
      </c>
      <c r="B195" t="s">
        <v>42</v>
      </c>
      <c r="C195">
        <v>45</v>
      </c>
      <c r="D195">
        <v>47</v>
      </c>
      <c r="E195">
        <v>15621.16</v>
      </c>
      <c r="F195">
        <v>4.3499999999999996</v>
      </c>
      <c r="G195">
        <v>97.9</v>
      </c>
    </row>
    <row r="196" spans="1:7" ht="14" x14ac:dyDescent="0.3">
      <c r="A196" t="s">
        <v>212</v>
      </c>
      <c r="B196" t="s">
        <v>8</v>
      </c>
      <c r="C196">
        <v>79</v>
      </c>
      <c r="D196">
        <v>83</v>
      </c>
      <c r="E196">
        <v>15544.88</v>
      </c>
      <c r="F196">
        <v>4.6100000000000003</v>
      </c>
      <c r="G196">
        <v>98.8</v>
      </c>
    </row>
    <row r="197" spans="1:7" ht="14" x14ac:dyDescent="0.3">
      <c r="A197" t="s">
        <v>213</v>
      </c>
      <c r="B197" t="s">
        <v>8</v>
      </c>
      <c r="C197">
        <v>109</v>
      </c>
      <c r="D197">
        <v>125</v>
      </c>
      <c r="E197">
        <v>15486.07</v>
      </c>
      <c r="F197">
        <v>4.59</v>
      </c>
      <c r="G197">
        <v>98.4</v>
      </c>
    </row>
    <row r="198" spans="1:7" ht="14" x14ac:dyDescent="0.3">
      <c r="A198" t="s">
        <v>214</v>
      </c>
      <c r="B198" t="s">
        <v>42</v>
      </c>
      <c r="C198">
        <v>64</v>
      </c>
      <c r="D198">
        <v>65</v>
      </c>
      <c r="E198">
        <v>15455.2</v>
      </c>
      <c r="F198">
        <v>4.25</v>
      </c>
      <c r="G198">
        <v>92.3</v>
      </c>
    </row>
    <row r="199" spans="1:7" ht="14" x14ac:dyDescent="0.3">
      <c r="A199" t="s">
        <v>215</v>
      </c>
      <c r="B199" t="s">
        <v>87</v>
      </c>
      <c r="C199">
        <v>101</v>
      </c>
      <c r="D199">
        <v>101</v>
      </c>
      <c r="E199">
        <v>15410.66</v>
      </c>
      <c r="F199">
        <v>4.6399999999999997</v>
      </c>
      <c r="G199">
        <v>98</v>
      </c>
    </row>
    <row r="200" spans="1:7" ht="14" x14ac:dyDescent="0.3">
      <c r="A200" t="s">
        <v>216</v>
      </c>
      <c r="B200" t="s">
        <v>8</v>
      </c>
      <c r="C200">
        <v>83</v>
      </c>
      <c r="D200">
        <v>92</v>
      </c>
      <c r="E200">
        <v>15352.47</v>
      </c>
      <c r="F200">
        <v>4.46</v>
      </c>
      <c r="G200">
        <v>93.5</v>
      </c>
    </row>
    <row r="201" spans="1:7" ht="14" x14ac:dyDescent="0.3">
      <c r="A201" t="s">
        <v>217</v>
      </c>
      <c r="B201" t="s">
        <v>8</v>
      </c>
      <c r="C201">
        <v>120</v>
      </c>
      <c r="D201">
        <v>121</v>
      </c>
      <c r="E201">
        <v>15350.85</v>
      </c>
      <c r="F201">
        <v>3.88</v>
      </c>
      <c r="G201">
        <v>88.4</v>
      </c>
    </row>
    <row r="202" spans="1:7" ht="14" x14ac:dyDescent="0.3">
      <c r="A202" t="s">
        <v>218</v>
      </c>
      <c r="B202" t="s">
        <v>32</v>
      </c>
      <c r="C202">
        <v>94</v>
      </c>
      <c r="D202">
        <v>101</v>
      </c>
      <c r="E202">
        <v>15279.16</v>
      </c>
      <c r="F202">
        <v>4.32</v>
      </c>
      <c r="G202">
        <v>99</v>
      </c>
    </row>
    <row r="203" spans="1:7" ht="14" x14ac:dyDescent="0.3">
      <c r="A203" t="s">
        <v>219</v>
      </c>
      <c r="B203" t="s">
        <v>8</v>
      </c>
      <c r="C203">
        <v>5</v>
      </c>
      <c r="D203">
        <v>5</v>
      </c>
      <c r="E203">
        <v>15200.56</v>
      </c>
      <c r="F203">
        <v>4.8</v>
      </c>
      <c r="G203">
        <v>100</v>
      </c>
    </row>
    <row r="204" spans="1:7" ht="14" x14ac:dyDescent="0.3">
      <c r="A204" t="s">
        <v>220</v>
      </c>
      <c r="B204" t="s">
        <v>8</v>
      </c>
      <c r="C204">
        <v>59</v>
      </c>
      <c r="D204">
        <v>59</v>
      </c>
      <c r="E204">
        <v>15196.12</v>
      </c>
      <c r="F204">
        <v>4.4000000000000004</v>
      </c>
      <c r="G204">
        <v>96.6</v>
      </c>
    </row>
    <row r="205" spans="1:7" ht="14" x14ac:dyDescent="0.3">
      <c r="A205" t="s">
        <v>221</v>
      </c>
      <c r="B205" t="s">
        <v>8</v>
      </c>
      <c r="C205">
        <v>91</v>
      </c>
      <c r="D205">
        <v>92</v>
      </c>
      <c r="E205">
        <v>15135.68</v>
      </c>
      <c r="F205">
        <v>3.89</v>
      </c>
      <c r="G205">
        <v>87</v>
      </c>
    </row>
    <row r="206" spans="1:7" ht="14" x14ac:dyDescent="0.3">
      <c r="A206" t="s">
        <v>222</v>
      </c>
      <c r="B206" t="s">
        <v>8</v>
      </c>
      <c r="C206">
        <v>116</v>
      </c>
      <c r="D206">
        <v>124</v>
      </c>
      <c r="E206">
        <v>15103.05</v>
      </c>
      <c r="F206">
        <v>3.8</v>
      </c>
      <c r="G206">
        <v>86.3</v>
      </c>
    </row>
    <row r="207" spans="1:7" ht="14" x14ac:dyDescent="0.3">
      <c r="A207" t="s">
        <v>223</v>
      </c>
      <c r="B207" t="s">
        <v>24</v>
      </c>
      <c r="C207">
        <v>57</v>
      </c>
      <c r="D207">
        <v>60</v>
      </c>
      <c r="E207">
        <v>14988.96</v>
      </c>
      <c r="F207">
        <v>4.25</v>
      </c>
      <c r="G207">
        <v>85</v>
      </c>
    </row>
    <row r="208" spans="1:7" ht="14" x14ac:dyDescent="0.3">
      <c r="A208" t="s">
        <v>224</v>
      </c>
      <c r="B208" t="s">
        <v>8</v>
      </c>
      <c r="C208">
        <v>73</v>
      </c>
      <c r="D208">
        <v>84</v>
      </c>
      <c r="E208">
        <v>14980.43</v>
      </c>
      <c r="F208">
        <v>3.49</v>
      </c>
      <c r="G208">
        <v>96.4</v>
      </c>
    </row>
    <row r="209" spans="1:7" ht="14" x14ac:dyDescent="0.3">
      <c r="A209" t="s">
        <v>225</v>
      </c>
      <c r="B209" t="s">
        <v>32</v>
      </c>
      <c r="C209">
        <v>103</v>
      </c>
      <c r="D209">
        <v>135</v>
      </c>
      <c r="E209">
        <v>14969.99</v>
      </c>
      <c r="F209">
        <v>3.79</v>
      </c>
      <c r="G209">
        <v>96.3</v>
      </c>
    </row>
    <row r="210" spans="1:7" ht="14" x14ac:dyDescent="0.3">
      <c r="A210" t="s">
        <v>226</v>
      </c>
      <c r="B210" t="s">
        <v>8</v>
      </c>
      <c r="C210">
        <v>70</v>
      </c>
      <c r="D210">
        <v>70</v>
      </c>
      <c r="E210">
        <v>14944.68</v>
      </c>
      <c r="F210">
        <v>4.25</v>
      </c>
      <c r="G210">
        <v>95.7</v>
      </c>
    </row>
    <row r="211" spans="1:7" ht="14" x14ac:dyDescent="0.3">
      <c r="A211" t="s">
        <v>227</v>
      </c>
      <c r="B211" t="s">
        <v>24</v>
      </c>
      <c r="C211">
        <v>78</v>
      </c>
      <c r="D211">
        <v>84</v>
      </c>
      <c r="E211">
        <v>14876.54</v>
      </c>
      <c r="F211">
        <v>4.1100000000000003</v>
      </c>
      <c r="G211">
        <v>91.7</v>
      </c>
    </row>
    <row r="212" spans="1:7" ht="14" x14ac:dyDescent="0.3">
      <c r="A212" t="s">
        <v>228</v>
      </c>
      <c r="B212" t="s">
        <v>24</v>
      </c>
      <c r="C212">
        <v>234</v>
      </c>
      <c r="D212">
        <v>265</v>
      </c>
      <c r="E212">
        <v>14824.08</v>
      </c>
      <c r="F212">
        <v>4.34</v>
      </c>
      <c r="G212">
        <v>99.2</v>
      </c>
    </row>
    <row r="213" spans="1:7" ht="14" x14ac:dyDescent="0.3">
      <c r="A213" s="1" t="s">
        <v>229</v>
      </c>
      <c r="B213" t="s">
        <v>8</v>
      </c>
      <c r="C213">
        <v>73</v>
      </c>
      <c r="D213">
        <v>77</v>
      </c>
      <c r="E213">
        <v>14797.26</v>
      </c>
      <c r="F213">
        <v>3.9</v>
      </c>
      <c r="G213">
        <v>97.4</v>
      </c>
    </row>
    <row r="214" spans="1:7" ht="14" x14ac:dyDescent="0.3">
      <c r="A214" t="s">
        <v>230</v>
      </c>
      <c r="B214" t="s">
        <v>32</v>
      </c>
      <c r="C214">
        <v>50</v>
      </c>
      <c r="D214">
        <v>77</v>
      </c>
      <c r="E214">
        <v>14690.79</v>
      </c>
      <c r="F214">
        <v>3.53</v>
      </c>
      <c r="G214">
        <v>88.3</v>
      </c>
    </row>
    <row r="215" spans="1:7" ht="14" x14ac:dyDescent="0.3">
      <c r="A215" t="s">
        <v>231</v>
      </c>
      <c r="B215" t="s">
        <v>8</v>
      </c>
      <c r="C215">
        <v>134</v>
      </c>
      <c r="D215">
        <v>147</v>
      </c>
      <c r="E215">
        <v>14662.01</v>
      </c>
      <c r="F215">
        <v>4.13</v>
      </c>
      <c r="G215">
        <v>93.2</v>
      </c>
    </row>
    <row r="216" spans="1:7" ht="14" x14ac:dyDescent="0.3">
      <c r="A216" t="s">
        <v>232</v>
      </c>
      <c r="B216" t="s">
        <v>8</v>
      </c>
      <c r="C216">
        <v>316</v>
      </c>
      <c r="D216">
        <v>332</v>
      </c>
      <c r="E216">
        <v>14648.8</v>
      </c>
      <c r="F216">
        <v>3.93</v>
      </c>
      <c r="G216">
        <v>91.9</v>
      </c>
    </row>
    <row r="217" spans="1:7" ht="14" x14ac:dyDescent="0.3">
      <c r="A217" t="s">
        <v>233</v>
      </c>
      <c r="B217" t="s">
        <v>87</v>
      </c>
      <c r="C217">
        <v>11</v>
      </c>
      <c r="D217">
        <v>18</v>
      </c>
      <c r="E217">
        <v>14565.74</v>
      </c>
      <c r="F217">
        <v>3.44</v>
      </c>
      <c r="G217">
        <v>100</v>
      </c>
    </row>
    <row r="218" spans="1:7" ht="14" x14ac:dyDescent="0.3">
      <c r="A218" t="s">
        <v>234</v>
      </c>
      <c r="B218" t="s">
        <v>8</v>
      </c>
      <c r="C218">
        <v>161</v>
      </c>
      <c r="D218">
        <v>167</v>
      </c>
      <c r="E218">
        <v>14491.52</v>
      </c>
      <c r="F218">
        <v>4.2300000000000004</v>
      </c>
      <c r="G218">
        <v>94</v>
      </c>
    </row>
    <row r="219" spans="1:7" ht="14" x14ac:dyDescent="0.3">
      <c r="A219" t="s">
        <v>235</v>
      </c>
      <c r="B219" t="s">
        <v>8</v>
      </c>
      <c r="C219">
        <v>197</v>
      </c>
      <c r="D219">
        <v>215</v>
      </c>
      <c r="E219">
        <v>14481.63</v>
      </c>
      <c r="F219">
        <v>4.1399999999999997</v>
      </c>
      <c r="G219">
        <v>98.6</v>
      </c>
    </row>
    <row r="220" spans="1:7" ht="14" x14ac:dyDescent="0.3">
      <c r="A220" t="s">
        <v>236</v>
      </c>
      <c r="B220" t="s">
        <v>8</v>
      </c>
      <c r="C220">
        <v>16</v>
      </c>
      <c r="D220">
        <v>17</v>
      </c>
      <c r="E220">
        <v>14429.45</v>
      </c>
      <c r="F220">
        <v>3.71</v>
      </c>
      <c r="G220">
        <v>88.2</v>
      </c>
    </row>
    <row r="221" spans="1:7" ht="14" x14ac:dyDescent="0.3">
      <c r="A221" t="s">
        <v>237</v>
      </c>
      <c r="B221" t="s">
        <v>24</v>
      </c>
      <c r="C221">
        <v>40</v>
      </c>
      <c r="D221">
        <v>41</v>
      </c>
      <c r="E221">
        <v>14404.28</v>
      </c>
      <c r="F221">
        <v>4.3</v>
      </c>
      <c r="G221">
        <v>100</v>
      </c>
    </row>
    <row r="222" spans="1:7" ht="14" x14ac:dyDescent="0.3">
      <c r="A222" t="s">
        <v>238</v>
      </c>
      <c r="B222" t="s">
        <v>22</v>
      </c>
      <c r="C222">
        <v>77</v>
      </c>
      <c r="D222">
        <v>80</v>
      </c>
      <c r="E222">
        <v>14385.65</v>
      </c>
      <c r="F222">
        <v>3.82</v>
      </c>
      <c r="G222">
        <v>93.8</v>
      </c>
    </row>
    <row r="223" spans="1:7" ht="14" x14ac:dyDescent="0.3">
      <c r="A223" t="s">
        <v>239</v>
      </c>
      <c r="B223" t="s">
        <v>8</v>
      </c>
      <c r="C223">
        <v>92</v>
      </c>
      <c r="D223">
        <v>108</v>
      </c>
      <c r="E223">
        <v>14315.88</v>
      </c>
      <c r="F223">
        <v>4.17</v>
      </c>
      <c r="G223">
        <v>93.5</v>
      </c>
    </row>
    <row r="224" spans="1:7" ht="14" x14ac:dyDescent="0.3">
      <c r="A224" t="s">
        <v>240</v>
      </c>
      <c r="B224" t="s">
        <v>241</v>
      </c>
      <c r="C224">
        <v>15</v>
      </c>
      <c r="D224">
        <v>15</v>
      </c>
      <c r="E224">
        <v>14306.91</v>
      </c>
      <c r="F224">
        <v>3.5</v>
      </c>
      <c r="G224">
        <v>93.3</v>
      </c>
    </row>
    <row r="225" spans="1:7" ht="14" x14ac:dyDescent="0.3">
      <c r="A225" t="s">
        <v>242</v>
      </c>
      <c r="B225" t="s">
        <v>8</v>
      </c>
      <c r="C225">
        <v>210</v>
      </c>
      <c r="D225">
        <v>227</v>
      </c>
      <c r="E225">
        <v>14302.05</v>
      </c>
      <c r="F225">
        <v>4.2</v>
      </c>
      <c r="G225">
        <v>94.3</v>
      </c>
    </row>
    <row r="226" spans="1:7" ht="14" x14ac:dyDescent="0.3">
      <c r="A226" t="s">
        <v>243</v>
      </c>
      <c r="B226" t="s">
        <v>8</v>
      </c>
      <c r="C226">
        <v>172</v>
      </c>
      <c r="D226">
        <v>195</v>
      </c>
      <c r="E226">
        <v>14271.23</v>
      </c>
      <c r="F226">
        <v>4.01</v>
      </c>
      <c r="G226">
        <v>95.9</v>
      </c>
    </row>
    <row r="227" spans="1:7" ht="14" x14ac:dyDescent="0.3">
      <c r="A227" t="s">
        <v>244</v>
      </c>
      <c r="B227" t="s">
        <v>24</v>
      </c>
      <c r="C227">
        <v>22</v>
      </c>
      <c r="D227">
        <v>33</v>
      </c>
      <c r="E227">
        <v>14175.74</v>
      </c>
      <c r="F227">
        <v>3.79</v>
      </c>
      <c r="G227">
        <v>97</v>
      </c>
    </row>
    <row r="228" spans="1:7" ht="14" x14ac:dyDescent="0.3">
      <c r="A228" t="s">
        <v>245</v>
      </c>
      <c r="B228" t="s">
        <v>22</v>
      </c>
      <c r="C228">
        <v>35</v>
      </c>
      <c r="D228">
        <v>35</v>
      </c>
      <c r="E228">
        <v>14171.65</v>
      </c>
      <c r="F228">
        <v>4.34</v>
      </c>
      <c r="G228">
        <v>97.1</v>
      </c>
    </row>
    <row r="229" spans="1:7" ht="14" x14ac:dyDescent="0.3">
      <c r="A229" t="s">
        <v>246</v>
      </c>
      <c r="B229" t="s">
        <v>8</v>
      </c>
      <c r="C229">
        <v>94</v>
      </c>
      <c r="D229">
        <v>96</v>
      </c>
      <c r="E229">
        <v>14061.27</v>
      </c>
      <c r="F229">
        <v>4.28</v>
      </c>
      <c r="G229">
        <v>96.9</v>
      </c>
    </row>
    <row r="230" spans="1:7" ht="14" x14ac:dyDescent="0.3">
      <c r="A230" t="s">
        <v>247</v>
      </c>
      <c r="B230" t="s">
        <v>22</v>
      </c>
      <c r="C230">
        <v>172</v>
      </c>
      <c r="D230">
        <v>190</v>
      </c>
      <c r="E230">
        <v>14054.46</v>
      </c>
      <c r="F230">
        <v>4.01</v>
      </c>
      <c r="G230">
        <v>96.8</v>
      </c>
    </row>
    <row r="231" spans="1:7" ht="14" x14ac:dyDescent="0.3">
      <c r="A231" t="s">
        <v>248</v>
      </c>
      <c r="B231" t="s">
        <v>8</v>
      </c>
      <c r="C231">
        <v>108</v>
      </c>
      <c r="D231">
        <v>127</v>
      </c>
      <c r="E231">
        <v>13996.65</v>
      </c>
      <c r="F231">
        <v>2.27</v>
      </c>
      <c r="G231">
        <v>85</v>
      </c>
    </row>
    <row r="232" spans="1:7" ht="14" x14ac:dyDescent="0.3">
      <c r="A232" t="s">
        <v>249</v>
      </c>
      <c r="B232" t="s">
        <v>12</v>
      </c>
      <c r="C232">
        <v>57</v>
      </c>
      <c r="D232">
        <v>67</v>
      </c>
      <c r="E232">
        <v>13969.77</v>
      </c>
      <c r="F232">
        <v>3.99</v>
      </c>
      <c r="G232">
        <v>88.1</v>
      </c>
    </row>
    <row r="233" spans="1:7" ht="14" x14ac:dyDescent="0.3">
      <c r="A233" t="s">
        <v>250</v>
      </c>
      <c r="B233" t="s">
        <v>8</v>
      </c>
      <c r="C233">
        <v>201</v>
      </c>
      <c r="D233">
        <v>204</v>
      </c>
      <c r="E233">
        <v>13951.99</v>
      </c>
      <c r="F233">
        <v>4.34</v>
      </c>
      <c r="G233">
        <v>98</v>
      </c>
    </row>
    <row r="234" spans="1:7" ht="14" x14ac:dyDescent="0.3">
      <c r="A234" t="s">
        <v>251</v>
      </c>
      <c r="B234" t="s">
        <v>8</v>
      </c>
      <c r="C234">
        <v>156</v>
      </c>
      <c r="D234">
        <v>175</v>
      </c>
      <c r="E234">
        <v>13844.49</v>
      </c>
      <c r="F234">
        <v>3.97</v>
      </c>
      <c r="G234">
        <v>93.7</v>
      </c>
    </row>
    <row r="235" spans="1:7" ht="14" x14ac:dyDescent="0.3">
      <c r="A235" t="s">
        <v>252</v>
      </c>
      <c r="B235" t="s">
        <v>8</v>
      </c>
      <c r="C235">
        <v>63</v>
      </c>
      <c r="D235">
        <v>69</v>
      </c>
      <c r="E235">
        <v>13813.84</v>
      </c>
      <c r="F235">
        <v>4.4000000000000004</v>
      </c>
      <c r="G235">
        <v>100</v>
      </c>
    </row>
    <row r="236" spans="1:7" ht="14" x14ac:dyDescent="0.3">
      <c r="A236" s="1" t="s">
        <v>253</v>
      </c>
      <c r="B236" t="s">
        <v>32</v>
      </c>
      <c r="C236">
        <v>96</v>
      </c>
      <c r="D236">
        <v>98</v>
      </c>
      <c r="E236">
        <v>13786.81</v>
      </c>
      <c r="F236">
        <v>4.3499999999999996</v>
      </c>
      <c r="G236">
        <v>96.9</v>
      </c>
    </row>
    <row r="237" spans="1:7" ht="14" x14ac:dyDescent="0.3">
      <c r="A237" t="s">
        <v>254</v>
      </c>
      <c r="B237" t="s">
        <v>8</v>
      </c>
      <c r="C237">
        <v>51</v>
      </c>
      <c r="D237">
        <v>55</v>
      </c>
      <c r="E237">
        <v>13780.71</v>
      </c>
      <c r="F237">
        <v>4.18</v>
      </c>
      <c r="G237">
        <v>92.7</v>
      </c>
    </row>
    <row r="238" spans="1:7" ht="14" x14ac:dyDescent="0.3">
      <c r="A238" t="s">
        <v>255</v>
      </c>
      <c r="B238" t="s">
        <v>24</v>
      </c>
      <c r="C238">
        <v>23</v>
      </c>
      <c r="D238">
        <v>24</v>
      </c>
      <c r="E238">
        <v>13776.6</v>
      </c>
      <c r="F238">
        <v>4.42</v>
      </c>
      <c r="G238">
        <v>91.7</v>
      </c>
    </row>
    <row r="239" spans="1:7" ht="14" x14ac:dyDescent="0.3">
      <c r="A239" t="s">
        <v>256</v>
      </c>
      <c r="B239" t="s">
        <v>8</v>
      </c>
      <c r="C239">
        <v>63</v>
      </c>
      <c r="D239">
        <v>67</v>
      </c>
      <c r="E239">
        <v>13723.94</v>
      </c>
      <c r="F239">
        <v>4.01</v>
      </c>
      <c r="G239">
        <v>89.6</v>
      </c>
    </row>
    <row r="240" spans="1:7" ht="14" x14ac:dyDescent="0.3">
      <c r="A240" t="s">
        <v>257</v>
      </c>
      <c r="B240" t="s">
        <v>24</v>
      </c>
      <c r="C240">
        <v>149</v>
      </c>
      <c r="D240">
        <v>157</v>
      </c>
      <c r="E240">
        <v>13718.46</v>
      </c>
      <c r="F240">
        <v>4.45</v>
      </c>
      <c r="G240">
        <v>98.7</v>
      </c>
    </row>
    <row r="241" spans="1:7" ht="14" x14ac:dyDescent="0.3">
      <c r="A241" t="s">
        <v>258</v>
      </c>
      <c r="B241" t="s">
        <v>8</v>
      </c>
      <c r="C241">
        <v>137</v>
      </c>
      <c r="D241">
        <v>179</v>
      </c>
      <c r="E241">
        <v>13708.8</v>
      </c>
      <c r="F241">
        <v>4.1900000000000004</v>
      </c>
      <c r="G241">
        <v>95.5</v>
      </c>
    </row>
    <row r="242" spans="1:7" ht="14" x14ac:dyDescent="0.3">
      <c r="A242" t="s">
        <v>259</v>
      </c>
      <c r="B242" t="s">
        <v>32</v>
      </c>
      <c r="C242">
        <v>88</v>
      </c>
      <c r="D242">
        <v>92</v>
      </c>
      <c r="E242">
        <v>13692.25</v>
      </c>
      <c r="F242">
        <v>4.05</v>
      </c>
      <c r="G242">
        <v>87</v>
      </c>
    </row>
    <row r="243" spans="1:7" ht="14" x14ac:dyDescent="0.3">
      <c r="A243" t="s">
        <v>260</v>
      </c>
      <c r="B243" t="s">
        <v>8</v>
      </c>
      <c r="C243">
        <v>84</v>
      </c>
      <c r="D243">
        <v>85</v>
      </c>
      <c r="E243">
        <v>13657.34</v>
      </c>
      <c r="F243">
        <v>4.05</v>
      </c>
      <c r="G243">
        <v>92.9</v>
      </c>
    </row>
    <row r="244" spans="1:7" ht="14" x14ac:dyDescent="0.3">
      <c r="A244" t="s">
        <v>261</v>
      </c>
      <c r="B244" t="s">
        <v>22</v>
      </c>
      <c r="C244">
        <v>77</v>
      </c>
      <c r="D244">
        <v>98</v>
      </c>
      <c r="E244">
        <v>13529.18</v>
      </c>
      <c r="F244">
        <v>4.2</v>
      </c>
      <c r="G244">
        <v>92.9</v>
      </c>
    </row>
    <row r="245" spans="1:7" ht="14" x14ac:dyDescent="0.3">
      <c r="A245" t="s">
        <v>262</v>
      </c>
      <c r="B245" t="s">
        <v>22</v>
      </c>
      <c r="C245">
        <v>64</v>
      </c>
      <c r="D245">
        <v>65</v>
      </c>
      <c r="E245">
        <v>13485.79</v>
      </c>
      <c r="F245">
        <v>4.16</v>
      </c>
      <c r="G245">
        <v>89.2</v>
      </c>
    </row>
    <row r="246" spans="1:7" ht="14" x14ac:dyDescent="0.3">
      <c r="A246" t="s">
        <v>263</v>
      </c>
      <c r="B246" t="s">
        <v>32</v>
      </c>
      <c r="C246">
        <v>80</v>
      </c>
      <c r="D246">
        <v>85</v>
      </c>
      <c r="E246">
        <v>13408.21</v>
      </c>
      <c r="F246">
        <v>3.93</v>
      </c>
      <c r="G246">
        <v>96.5</v>
      </c>
    </row>
    <row r="247" spans="1:7" ht="14" x14ac:dyDescent="0.3">
      <c r="A247" t="s">
        <v>264</v>
      </c>
      <c r="B247" t="s">
        <v>8</v>
      </c>
      <c r="C247">
        <v>32</v>
      </c>
      <c r="D247">
        <v>40</v>
      </c>
      <c r="E247">
        <v>13369.76</v>
      </c>
      <c r="F247">
        <v>3.73</v>
      </c>
      <c r="G247">
        <v>97.5</v>
      </c>
    </row>
    <row r="248" spans="1:7" ht="14" x14ac:dyDescent="0.3">
      <c r="A248" t="s">
        <v>265</v>
      </c>
      <c r="B248" t="s">
        <v>8</v>
      </c>
      <c r="C248">
        <v>11</v>
      </c>
      <c r="D248">
        <v>11</v>
      </c>
      <c r="E248">
        <v>13354.83</v>
      </c>
      <c r="F248">
        <v>3.73</v>
      </c>
      <c r="G248">
        <v>90.9</v>
      </c>
    </row>
    <row r="249" spans="1:7" ht="14" x14ac:dyDescent="0.3">
      <c r="A249" t="s">
        <v>266</v>
      </c>
      <c r="B249" t="s">
        <v>8</v>
      </c>
      <c r="C249">
        <v>50</v>
      </c>
      <c r="D249">
        <v>56</v>
      </c>
      <c r="E249">
        <v>13346.46</v>
      </c>
      <c r="F249">
        <v>3.88</v>
      </c>
      <c r="G249">
        <v>94.6</v>
      </c>
    </row>
    <row r="250" spans="1:7" ht="14" x14ac:dyDescent="0.3">
      <c r="A250" t="s">
        <v>267</v>
      </c>
      <c r="B250" t="s">
        <v>32</v>
      </c>
      <c r="C250">
        <v>91</v>
      </c>
      <c r="D250">
        <v>97</v>
      </c>
      <c r="E250">
        <v>13291.14</v>
      </c>
      <c r="F250">
        <v>3.93</v>
      </c>
      <c r="G250">
        <v>91.8</v>
      </c>
    </row>
    <row r="251" spans="1:7" ht="14" x14ac:dyDescent="0.3">
      <c r="A251" t="s">
        <v>268</v>
      </c>
      <c r="B251" t="s">
        <v>42</v>
      </c>
      <c r="C251">
        <v>16</v>
      </c>
      <c r="D251">
        <v>17</v>
      </c>
      <c r="E251">
        <v>13284.02</v>
      </c>
      <c r="F251">
        <v>4.47</v>
      </c>
      <c r="G251">
        <v>88.2</v>
      </c>
    </row>
    <row r="252" spans="1:7" ht="14" x14ac:dyDescent="0.3">
      <c r="A252" t="s">
        <v>269</v>
      </c>
      <c r="B252" t="s">
        <v>8</v>
      </c>
      <c r="C252">
        <v>5</v>
      </c>
      <c r="D252">
        <v>5</v>
      </c>
      <c r="E252">
        <v>13273.42</v>
      </c>
      <c r="F252">
        <v>4</v>
      </c>
      <c r="G252">
        <v>80</v>
      </c>
    </row>
    <row r="253" spans="1:7" ht="14" x14ac:dyDescent="0.3">
      <c r="A253" t="s">
        <v>270</v>
      </c>
      <c r="B253" t="s">
        <v>8</v>
      </c>
      <c r="C253">
        <v>106</v>
      </c>
      <c r="D253">
        <v>115</v>
      </c>
      <c r="E253">
        <v>13239.8</v>
      </c>
      <c r="F253">
        <v>4.42</v>
      </c>
      <c r="G253">
        <v>97.4</v>
      </c>
    </row>
    <row r="254" spans="1:7" ht="14" x14ac:dyDescent="0.3">
      <c r="A254" t="s">
        <v>271</v>
      </c>
      <c r="B254" t="s">
        <v>8</v>
      </c>
      <c r="C254">
        <v>51</v>
      </c>
      <c r="D254">
        <v>53</v>
      </c>
      <c r="E254">
        <v>13217.21</v>
      </c>
      <c r="F254">
        <v>3.94</v>
      </c>
      <c r="G254">
        <v>96.2</v>
      </c>
    </row>
    <row r="255" spans="1:7" ht="14" x14ac:dyDescent="0.3">
      <c r="A255" t="s">
        <v>272</v>
      </c>
      <c r="B255" t="s">
        <v>8</v>
      </c>
      <c r="C255">
        <v>44</v>
      </c>
      <c r="D255">
        <v>44</v>
      </c>
      <c r="E255">
        <v>13127.29</v>
      </c>
      <c r="F255">
        <v>4.57</v>
      </c>
      <c r="G255">
        <v>95.5</v>
      </c>
    </row>
    <row r="256" spans="1:7" ht="14" x14ac:dyDescent="0.3">
      <c r="A256" t="s">
        <v>273</v>
      </c>
      <c r="B256" t="s">
        <v>32</v>
      </c>
      <c r="C256">
        <v>15</v>
      </c>
      <c r="D256">
        <v>15</v>
      </c>
      <c r="E256">
        <v>13110.7</v>
      </c>
      <c r="F256">
        <v>4.2</v>
      </c>
      <c r="G256">
        <v>86.7</v>
      </c>
    </row>
    <row r="257" spans="1:7" ht="14" x14ac:dyDescent="0.3">
      <c r="A257" t="s">
        <v>274</v>
      </c>
      <c r="B257" t="s">
        <v>8</v>
      </c>
      <c r="C257">
        <v>255</v>
      </c>
      <c r="D257">
        <v>265</v>
      </c>
      <c r="E257">
        <v>12884.21</v>
      </c>
      <c r="F257">
        <v>4.25</v>
      </c>
      <c r="G257">
        <v>97</v>
      </c>
    </row>
    <row r="258" spans="1:7" ht="14" x14ac:dyDescent="0.3">
      <c r="A258" t="s">
        <v>275</v>
      </c>
      <c r="B258" t="s">
        <v>8</v>
      </c>
      <c r="C258">
        <v>261</v>
      </c>
      <c r="D258">
        <v>324</v>
      </c>
      <c r="E258">
        <v>12867.08</v>
      </c>
      <c r="F258">
        <v>4.08</v>
      </c>
      <c r="G258">
        <v>96</v>
      </c>
    </row>
    <row r="259" spans="1:7" ht="14" x14ac:dyDescent="0.3">
      <c r="A259" t="s">
        <v>276</v>
      </c>
      <c r="B259" t="s">
        <v>87</v>
      </c>
      <c r="C259">
        <v>18</v>
      </c>
      <c r="D259">
        <v>20</v>
      </c>
      <c r="E259">
        <v>12863.41</v>
      </c>
      <c r="F259">
        <v>4.5999999999999996</v>
      </c>
      <c r="G259">
        <v>95</v>
      </c>
    </row>
    <row r="260" spans="1:7" ht="14" x14ac:dyDescent="0.3">
      <c r="A260" t="s">
        <v>277</v>
      </c>
      <c r="B260" t="s">
        <v>8</v>
      </c>
      <c r="C260">
        <v>39</v>
      </c>
      <c r="D260">
        <v>40</v>
      </c>
      <c r="E260">
        <v>12823.32</v>
      </c>
      <c r="F260">
        <v>4.6500000000000004</v>
      </c>
      <c r="G260">
        <v>97.5</v>
      </c>
    </row>
    <row r="261" spans="1:7" ht="14" x14ac:dyDescent="0.3">
      <c r="A261" t="s">
        <v>278</v>
      </c>
      <c r="B261" t="s">
        <v>8</v>
      </c>
      <c r="C261">
        <v>62</v>
      </c>
      <c r="D261">
        <v>77</v>
      </c>
      <c r="E261">
        <v>12821.46</v>
      </c>
      <c r="F261">
        <v>3.08</v>
      </c>
      <c r="G261">
        <v>89.6</v>
      </c>
    </row>
    <row r="262" spans="1:7" ht="14" x14ac:dyDescent="0.3">
      <c r="A262" s="1" t="s">
        <v>279</v>
      </c>
      <c r="B262" t="s">
        <v>8</v>
      </c>
      <c r="C262">
        <v>29</v>
      </c>
      <c r="D262">
        <v>29</v>
      </c>
      <c r="E262">
        <v>12820.81</v>
      </c>
      <c r="F262">
        <v>4.6100000000000003</v>
      </c>
      <c r="G262">
        <v>93.1</v>
      </c>
    </row>
    <row r="263" spans="1:7" ht="14" x14ac:dyDescent="0.3">
      <c r="A263" t="s">
        <v>280</v>
      </c>
      <c r="B263" t="s">
        <v>42</v>
      </c>
      <c r="C263">
        <v>12</v>
      </c>
      <c r="D263">
        <v>12</v>
      </c>
      <c r="E263">
        <v>12785.73</v>
      </c>
      <c r="F263">
        <v>4.33</v>
      </c>
      <c r="G263">
        <v>83.3</v>
      </c>
    </row>
    <row r="264" spans="1:7" ht="14" x14ac:dyDescent="0.3">
      <c r="A264" t="s">
        <v>281</v>
      </c>
      <c r="B264" t="s">
        <v>8</v>
      </c>
      <c r="C264">
        <v>127</v>
      </c>
      <c r="D264">
        <v>139</v>
      </c>
      <c r="E264">
        <v>12766.71</v>
      </c>
      <c r="F264">
        <v>4.16</v>
      </c>
      <c r="G264">
        <v>92.8</v>
      </c>
    </row>
    <row r="265" spans="1:7" ht="14" x14ac:dyDescent="0.3">
      <c r="A265" t="s">
        <v>282</v>
      </c>
      <c r="B265" t="s">
        <v>8</v>
      </c>
      <c r="C265">
        <v>18</v>
      </c>
      <c r="D265">
        <v>18</v>
      </c>
      <c r="E265">
        <v>12758.93</v>
      </c>
      <c r="F265">
        <v>4.18</v>
      </c>
      <c r="G265">
        <v>94.4</v>
      </c>
    </row>
    <row r="266" spans="1:7" ht="14" x14ac:dyDescent="0.3">
      <c r="A266" t="s">
        <v>283</v>
      </c>
      <c r="B266" t="s">
        <v>8</v>
      </c>
      <c r="C266">
        <v>147</v>
      </c>
      <c r="D266">
        <v>182</v>
      </c>
      <c r="E266">
        <v>12665.78</v>
      </c>
      <c r="F266">
        <v>4.2300000000000004</v>
      </c>
      <c r="G266">
        <v>89</v>
      </c>
    </row>
    <row r="267" spans="1:7" ht="14" x14ac:dyDescent="0.3">
      <c r="A267" t="s">
        <v>284</v>
      </c>
      <c r="B267" t="s">
        <v>8</v>
      </c>
      <c r="C267">
        <v>189</v>
      </c>
      <c r="D267">
        <v>204</v>
      </c>
      <c r="E267">
        <v>12654.9</v>
      </c>
      <c r="F267">
        <v>4.12</v>
      </c>
      <c r="G267">
        <v>92.6</v>
      </c>
    </row>
    <row r="268" spans="1:7" ht="14" x14ac:dyDescent="0.3">
      <c r="A268" t="s">
        <v>285</v>
      </c>
      <c r="B268" t="s">
        <v>8</v>
      </c>
      <c r="C268">
        <v>31</v>
      </c>
      <c r="D268">
        <v>31</v>
      </c>
      <c r="E268">
        <v>12652.47</v>
      </c>
      <c r="F268">
        <v>4.13</v>
      </c>
      <c r="G268">
        <v>96.8</v>
      </c>
    </row>
    <row r="269" spans="1:7" ht="14" x14ac:dyDescent="0.3">
      <c r="A269" s="1" t="s">
        <v>286</v>
      </c>
      <c r="B269" t="s">
        <v>8</v>
      </c>
      <c r="C269">
        <v>30</v>
      </c>
      <c r="D269">
        <v>30</v>
      </c>
      <c r="E269">
        <v>12628.42</v>
      </c>
      <c r="F269">
        <v>4.03</v>
      </c>
      <c r="G269">
        <v>80</v>
      </c>
    </row>
    <row r="270" spans="1:7" ht="14" x14ac:dyDescent="0.3">
      <c r="A270" t="s">
        <v>287</v>
      </c>
      <c r="B270" t="s">
        <v>24</v>
      </c>
      <c r="C270">
        <v>105</v>
      </c>
      <c r="D270">
        <v>110</v>
      </c>
      <c r="E270">
        <v>12599.01</v>
      </c>
      <c r="F270">
        <v>3.82</v>
      </c>
      <c r="G270">
        <v>94.5</v>
      </c>
    </row>
    <row r="271" spans="1:7" ht="14" x14ac:dyDescent="0.3">
      <c r="A271" t="s">
        <v>288</v>
      </c>
      <c r="B271" t="s">
        <v>8</v>
      </c>
      <c r="C271">
        <v>68</v>
      </c>
      <c r="D271">
        <v>135</v>
      </c>
      <c r="E271">
        <v>12572.36</v>
      </c>
      <c r="F271">
        <v>3.79</v>
      </c>
      <c r="G271">
        <v>99.3</v>
      </c>
    </row>
    <row r="272" spans="1:7" ht="14" x14ac:dyDescent="0.3">
      <c r="A272" t="s">
        <v>289</v>
      </c>
      <c r="B272" t="s">
        <v>8</v>
      </c>
      <c r="C272">
        <v>200</v>
      </c>
      <c r="D272">
        <v>219</v>
      </c>
      <c r="E272">
        <v>12550.19</v>
      </c>
      <c r="F272">
        <v>4.18</v>
      </c>
      <c r="G272">
        <v>95.9</v>
      </c>
    </row>
    <row r="273" spans="1:7" ht="14" x14ac:dyDescent="0.3">
      <c r="A273" s="1" t="s">
        <v>290</v>
      </c>
      <c r="B273" t="s">
        <v>8</v>
      </c>
      <c r="C273">
        <v>204</v>
      </c>
      <c r="D273">
        <v>212</v>
      </c>
      <c r="E273">
        <v>12502.42</v>
      </c>
      <c r="F273">
        <v>4.18</v>
      </c>
      <c r="G273">
        <v>95.3</v>
      </c>
    </row>
    <row r="274" spans="1:7" ht="14" x14ac:dyDescent="0.3">
      <c r="A274" t="s">
        <v>291</v>
      </c>
      <c r="B274" t="s">
        <v>22</v>
      </c>
      <c r="C274">
        <v>22</v>
      </c>
      <c r="D274">
        <v>27</v>
      </c>
      <c r="E274">
        <v>12478.83</v>
      </c>
      <c r="F274">
        <v>4.4400000000000004</v>
      </c>
      <c r="G274">
        <v>92.6</v>
      </c>
    </row>
    <row r="275" spans="1:7" ht="14" x14ac:dyDescent="0.3">
      <c r="A275" t="s">
        <v>292</v>
      </c>
      <c r="B275" t="s">
        <v>24</v>
      </c>
      <c r="C275">
        <v>96</v>
      </c>
      <c r="D275">
        <v>102</v>
      </c>
      <c r="E275">
        <v>12470.26</v>
      </c>
      <c r="F275">
        <v>4.1399999999999997</v>
      </c>
      <c r="G275">
        <v>94.1</v>
      </c>
    </row>
    <row r="276" spans="1:7" ht="14" x14ac:dyDescent="0.3">
      <c r="A276" t="s">
        <v>293</v>
      </c>
      <c r="B276" t="s">
        <v>32</v>
      </c>
      <c r="C276">
        <v>73</v>
      </c>
      <c r="D276">
        <v>81</v>
      </c>
      <c r="E276">
        <v>12427.96</v>
      </c>
      <c r="F276">
        <v>3.07</v>
      </c>
      <c r="G276">
        <v>67.900000000000006</v>
      </c>
    </row>
    <row r="277" spans="1:7" ht="14" x14ac:dyDescent="0.3">
      <c r="A277" t="s">
        <v>294</v>
      </c>
      <c r="B277" t="s">
        <v>8</v>
      </c>
      <c r="C277">
        <v>208</v>
      </c>
      <c r="D277">
        <v>223</v>
      </c>
      <c r="E277">
        <v>12336.96</v>
      </c>
      <c r="F277">
        <v>3.59</v>
      </c>
      <c r="G277">
        <v>92.8</v>
      </c>
    </row>
    <row r="278" spans="1:7" ht="14" x14ac:dyDescent="0.3">
      <c r="A278" t="s">
        <v>295</v>
      </c>
      <c r="B278" t="s">
        <v>32</v>
      </c>
      <c r="C278">
        <v>58</v>
      </c>
      <c r="D278">
        <v>58</v>
      </c>
      <c r="E278">
        <v>12299.77</v>
      </c>
      <c r="F278">
        <v>4.57</v>
      </c>
      <c r="G278">
        <v>96.6</v>
      </c>
    </row>
    <row r="279" spans="1:7" ht="14" x14ac:dyDescent="0.3">
      <c r="A279" t="s">
        <v>296</v>
      </c>
      <c r="B279" t="s">
        <v>8</v>
      </c>
      <c r="C279">
        <v>41</v>
      </c>
      <c r="D279">
        <v>79</v>
      </c>
      <c r="E279">
        <v>12216.4</v>
      </c>
      <c r="F279">
        <v>3.38</v>
      </c>
      <c r="G279">
        <v>93.7</v>
      </c>
    </row>
    <row r="280" spans="1:7" ht="14" x14ac:dyDescent="0.3">
      <c r="A280" t="s">
        <v>297</v>
      </c>
      <c r="B280" t="s">
        <v>8</v>
      </c>
      <c r="C280">
        <v>70</v>
      </c>
      <c r="D280">
        <v>110</v>
      </c>
      <c r="E280">
        <v>12194.09</v>
      </c>
      <c r="F280">
        <v>3.64</v>
      </c>
      <c r="G280">
        <v>90.9</v>
      </c>
    </row>
    <row r="281" spans="1:7" ht="14" x14ac:dyDescent="0.3">
      <c r="A281" t="s">
        <v>298</v>
      </c>
      <c r="B281" t="s">
        <v>8</v>
      </c>
      <c r="C281">
        <v>105</v>
      </c>
      <c r="D281">
        <v>126</v>
      </c>
      <c r="E281">
        <v>12183.91</v>
      </c>
      <c r="F281">
        <v>4.3600000000000003</v>
      </c>
      <c r="G281">
        <v>98.4</v>
      </c>
    </row>
    <row r="282" spans="1:7" ht="14" x14ac:dyDescent="0.3">
      <c r="A282" t="s">
        <v>299</v>
      </c>
      <c r="B282" t="s">
        <v>8</v>
      </c>
      <c r="C282">
        <v>17</v>
      </c>
      <c r="D282">
        <v>17</v>
      </c>
      <c r="E282">
        <v>12038.35</v>
      </c>
      <c r="F282">
        <v>3.94</v>
      </c>
      <c r="G282">
        <v>70.599999999999994</v>
      </c>
    </row>
    <row r="283" spans="1:7" ht="14" x14ac:dyDescent="0.3">
      <c r="A283" t="s">
        <v>300</v>
      </c>
      <c r="B283" t="s">
        <v>8</v>
      </c>
      <c r="C283">
        <v>17</v>
      </c>
      <c r="D283">
        <v>17</v>
      </c>
      <c r="E283">
        <v>12028.79</v>
      </c>
      <c r="F283">
        <v>4.29</v>
      </c>
      <c r="G283">
        <v>94.1</v>
      </c>
    </row>
    <row r="284" spans="1:7" ht="14" x14ac:dyDescent="0.3">
      <c r="A284" t="s">
        <v>301</v>
      </c>
      <c r="B284" t="s">
        <v>8</v>
      </c>
      <c r="C284">
        <v>121</v>
      </c>
      <c r="D284">
        <v>142</v>
      </c>
      <c r="E284">
        <v>12025.18</v>
      </c>
      <c r="F284">
        <v>3.78</v>
      </c>
      <c r="G284">
        <v>88.7</v>
      </c>
    </row>
    <row r="285" spans="1:7" ht="14" x14ac:dyDescent="0.3">
      <c r="A285" t="s">
        <v>302</v>
      </c>
      <c r="B285" t="s">
        <v>24</v>
      </c>
      <c r="C285">
        <v>115</v>
      </c>
      <c r="D285">
        <v>128</v>
      </c>
      <c r="E285">
        <v>11998.82</v>
      </c>
      <c r="F285">
        <v>4.03</v>
      </c>
      <c r="G285">
        <v>99.2</v>
      </c>
    </row>
    <row r="286" spans="1:7" ht="14" x14ac:dyDescent="0.3">
      <c r="A286" t="s">
        <v>303</v>
      </c>
      <c r="B286" t="s">
        <v>8</v>
      </c>
      <c r="C286">
        <v>39</v>
      </c>
      <c r="D286">
        <v>39</v>
      </c>
      <c r="E286">
        <v>11994.94</v>
      </c>
      <c r="F286">
        <v>3.44</v>
      </c>
      <c r="G286">
        <v>84.6</v>
      </c>
    </row>
    <row r="287" spans="1:7" ht="14" x14ac:dyDescent="0.3">
      <c r="A287" t="s">
        <v>304</v>
      </c>
      <c r="B287" t="s">
        <v>8</v>
      </c>
      <c r="C287">
        <v>50</v>
      </c>
      <c r="D287">
        <v>52</v>
      </c>
      <c r="E287">
        <v>11947.17</v>
      </c>
      <c r="F287">
        <v>3.93</v>
      </c>
      <c r="G287">
        <v>90.4</v>
      </c>
    </row>
    <row r="288" spans="1:7" ht="14" x14ac:dyDescent="0.3">
      <c r="A288" t="s">
        <v>305</v>
      </c>
      <c r="B288" t="s">
        <v>152</v>
      </c>
      <c r="C288">
        <v>86</v>
      </c>
      <c r="D288">
        <v>91</v>
      </c>
      <c r="E288">
        <v>11941.36</v>
      </c>
      <c r="F288">
        <v>4.16</v>
      </c>
      <c r="G288">
        <v>100</v>
      </c>
    </row>
    <row r="289" spans="1:7" ht="14" x14ac:dyDescent="0.3">
      <c r="A289" t="s">
        <v>306</v>
      </c>
      <c r="B289" t="s">
        <v>8</v>
      </c>
      <c r="C289">
        <v>81</v>
      </c>
      <c r="D289">
        <v>88</v>
      </c>
      <c r="E289">
        <v>11862.36</v>
      </c>
      <c r="F289">
        <v>4.17</v>
      </c>
      <c r="G289">
        <v>96.6</v>
      </c>
    </row>
    <row r="290" spans="1:7" ht="14" x14ac:dyDescent="0.3">
      <c r="A290" t="s">
        <v>307</v>
      </c>
      <c r="B290" t="s">
        <v>42</v>
      </c>
      <c r="C290">
        <v>36</v>
      </c>
      <c r="D290">
        <v>38</v>
      </c>
      <c r="E290">
        <v>11854.42</v>
      </c>
      <c r="F290">
        <v>4.24</v>
      </c>
      <c r="G290">
        <v>97.4</v>
      </c>
    </row>
    <row r="291" spans="1:7" ht="14" x14ac:dyDescent="0.3">
      <c r="A291" t="s">
        <v>308</v>
      </c>
      <c r="B291" t="s">
        <v>309</v>
      </c>
      <c r="C291">
        <v>66</v>
      </c>
      <c r="D291">
        <v>78</v>
      </c>
      <c r="E291">
        <v>11791.39</v>
      </c>
      <c r="F291">
        <v>4.4400000000000004</v>
      </c>
      <c r="G291">
        <v>98.7</v>
      </c>
    </row>
    <row r="292" spans="1:7" ht="14" x14ac:dyDescent="0.3">
      <c r="A292" t="s">
        <v>310</v>
      </c>
      <c r="B292" t="s">
        <v>8</v>
      </c>
      <c r="C292">
        <v>116</v>
      </c>
      <c r="D292">
        <v>125</v>
      </c>
      <c r="E292">
        <v>11790.62</v>
      </c>
      <c r="F292">
        <v>4.1399999999999997</v>
      </c>
      <c r="G292">
        <v>93.6</v>
      </c>
    </row>
    <row r="293" spans="1:7" ht="14" x14ac:dyDescent="0.3">
      <c r="A293" t="s">
        <v>311</v>
      </c>
      <c r="B293" t="s">
        <v>8</v>
      </c>
      <c r="C293">
        <v>89</v>
      </c>
      <c r="D293">
        <v>108</v>
      </c>
      <c r="E293">
        <v>11706.59</v>
      </c>
      <c r="F293">
        <v>3.67</v>
      </c>
      <c r="G293">
        <v>85.2</v>
      </c>
    </row>
    <row r="294" spans="1:7" ht="14" x14ac:dyDescent="0.3">
      <c r="A294" t="s">
        <v>312</v>
      </c>
      <c r="B294" t="s">
        <v>42</v>
      </c>
      <c r="C294">
        <v>129</v>
      </c>
      <c r="D294">
        <v>131</v>
      </c>
      <c r="E294">
        <v>11673.2</v>
      </c>
      <c r="F294">
        <v>4.38</v>
      </c>
      <c r="G294">
        <v>96.2</v>
      </c>
    </row>
    <row r="295" spans="1:7" ht="14" x14ac:dyDescent="0.3">
      <c r="A295" t="s">
        <v>313</v>
      </c>
      <c r="B295" t="s">
        <v>42</v>
      </c>
      <c r="C295">
        <v>104</v>
      </c>
      <c r="D295">
        <v>111</v>
      </c>
      <c r="E295">
        <v>11659.73</v>
      </c>
      <c r="F295">
        <v>4.05</v>
      </c>
      <c r="G295">
        <v>97.3</v>
      </c>
    </row>
    <row r="296" spans="1:7" ht="14" x14ac:dyDescent="0.3">
      <c r="A296" t="s">
        <v>314</v>
      </c>
      <c r="B296" t="s">
        <v>8</v>
      </c>
      <c r="C296">
        <v>122</v>
      </c>
      <c r="D296">
        <v>151</v>
      </c>
      <c r="E296">
        <v>11620.12</v>
      </c>
      <c r="F296">
        <v>4.12</v>
      </c>
      <c r="G296">
        <v>98.7</v>
      </c>
    </row>
    <row r="297" spans="1:7" ht="14" x14ac:dyDescent="0.3">
      <c r="A297" t="s">
        <v>315</v>
      </c>
      <c r="B297" t="s">
        <v>8</v>
      </c>
      <c r="C297">
        <v>6</v>
      </c>
      <c r="D297">
        <v>6</v>
      </c>
      <c r="E297">
        <v>11612.7</v>
      </c>
      <c r="F297">
        <v>3.83</v>
      </c>
      <c r="G297">
        <v>83.3</v>
      </c>
    </row>
    <row r="298" spans="1:7" ht="14" x14ac:dyDescent="0.3">
      <c r="A298" t="s">
        <v>316</v>
      </c>
      <c r="B298" t="s">
        <v>24</v>
      </c>
      <c r="C298">
        <v>42</v>
      </c>
      <c r="D298">
        <v>42</v>
      </c>
      <c r="E298">
        <v>11574.35</v>
      </c>
      <c r="F298">
        <v>4.43</v>
      </c>
      <c r="G298">
        <v>95.2</v>
      </c>
    </row>
    <row r="299" spans="1:7" ht="14" x14ac:dyDescent="0.3">
      <c r="A299" t="s">
        <v>317</v>
      </c>
      <c r="B299" t="s">
        <v>8</v>
      </c>
      <c r="C299">
        <v>139</v>
      </c>
      <c r="D299">
        <v>151</v>
      </c>
      <c r="E299">
        <v>11533.04</v>
      </c>
      <c r="F299">
        <v>3.9</v>
      </c>
      <c r="G299">
        <v>87.4</v>
      </c>
    </row>
    <row r="300" spans="1:7" ht="14" x14ac:dyDescent="0.3">
      <c r="A300" t="s">
        <v>318</v>
      </c>
      <c r="B300" t="s">
        <v>24</v>
      </c>
      <c r="C300">
        <v>94</v>
      </c>
      <c r="D300">
        <v>97</v>
      </c>
      <c r="E300">
        <v>11522.66</v>
      </c>
      <c r="F300">
        <v>4.1900000000000004</v>
      </c>
      <c r="G300">
        <v>89.7</v>
      </c>
    </row>
    <row r="301" spans="1:7" ht="14" x14ac:dyDescent="0.3">
      <c r="A301" t="s">
        <v>319</v>
      </c>
      <c r="B301" t="s">
        <v>32</v>
      </c>
      <c r="C301">
        <v>59</v>
      </c>
      <c r="D301">
        <v>65</v>
      </c>
      <c r="E301">
        <v>11404.01</v>
      </c>
      <c r="F301">
        <v>4.1900000000000004</v>
      </c>
      <c r="G301">
        <v>95.4</v>
      </c>
    </row>
    <row r="302" spans="1:7" ht="14" x14ac:dyDescent="0.3">
      <c r="A302" t="s">
        <v>320</v>
      </c>
      <c r="B302" t="s">
        <v>24</v>
      </c>
      <c r="C302">
        <v>86</v>
      </c>
      <c r="D302">
        <v>88</v>
      </c>
      <c r="E302">
        <v>11374.54</v>
      </c>
      <c r="F302">
        <v>4.34</v>
      </c>
      <c r="G302">
        <v>98.9</v>
      </c>
    </row>
    <row r="303" spans="1:7" ht="14" x14ac:dyDescent="0.3">
      <c r="A303" t="s">
        <v>321</v>
      </c>
      <c r="B303" t="s">
        <v>8</v>
      </c>
      <c r="C303">
        <v>97</v>
      </c>
      <c r="D303">
        <v>99</v>
      </c>
      <c r="E303">
        <v>11355.3</v>
      </c>
      <c r="F303">
        <v>4.54</v>
      </c>
      <c r="G303">
        <v>96</v>
      </c>
    </row>
    <row r="304" spans="1:7" ht="14" x14ac:dyDescent="0.3">
      <c r="A304" t="s">
        <v>322</v>
      </c>
      <c r="B304" t="s">
        <v>8</v>
      </c>
      <c r="C304">
        <v>170</v>
      </c>
      <c r="D304">
        <v>220</v>
      </c>
      <c r="E304">
        <v>11270.83</v>
      </c>
      <c r="F304">
        <v>4.0599999999999996</v>
      </c>
      <c r="G304">
        <v>96.8</v>
      </c>
    </row>
    <row r="305" spans="1:7" ht="14" x14ac:dyDescent="0.3">
      <c r="A305" t="s">
        <v>323</v>
      </c>
      <c r="B305" t="s">
        <v>8</v>
      </c>
      <c r="C305">
        <v>334</v>
      </c>
      <c r="D305">
        <v>358</v>
      </c>
      <c r="E305">
        <v>11262.04</v>
      </c>
      <c r="F305">
        <v>3.96</v>
      </c>
      <c r="G305">
        <v>95.5</v>
      </c>
    </row>
    <row r="306" spans="1:7" ht="14" x14ac:dyDescent="0.3">
      <c r="A306" s="1" t="s">
        <v>324</v>
      </c>
      <c r="B306" t="s">
        <v>152</v>
      </c>
      <c r="C306">
        <v>171</v>
      </c>
      <c r="D306">
        <v>185</v>
      </c>
      <c r="E306">
        <v>11255.55</v>
      </c>
      <c r="F306">
        <v>3.82</v>
      </c>
      <c r="G306">
        <v>94.1</v>
      </c>
    </row>
    <row r="307" spans="1:7" ht="14" x14ac:dyDescent="0.3">
      <c r="A307" t="s">
        <v>325</v>
      </c>
      <c r="B307" t="s">
        <v>8</v>
      </c>
      <c r="C307">
        <v>50</v>
      </c>
      <c r="D307">
        <v>52</v>
      </c>
      <c r="E307">
        <v>11167.98</v>
      </c>
      <c r="F307">
        <v>3.75</v>
      </c>
      <c r="G307">
        <v>80.8</v>
      </c>
    </row>
    <row r="308" spans="1:7" ht="14" x14ac:dyDescent="0.3">
      <c r="A308" t="s">
        <v>326</v>
      </c>
      <c r="B308" t="s">
        <v>8</v>
      </c>
      <c r="C308">
        <v>57</v>
      </c>
      <c r="D308">
        <v>58</v>
      </c>
      <c r="E308">
        <v>11125.3</v>
      </c>
      <c r="F308">
        <v>3.91</v>
      </c>
      <c r="G308">
        <v>87.9</v>
      </c>
    </row>
    <row r="309" spans="1:7" ht="14" x14ac:dyDescent="0.3">
      <c r="A309" t="s">
        <v>327</v>
      </c>
      <c r="B309" t="s">
        <v>8</v>
      </c>
      <c r="C309">
        <v>112</v>
      </c>
      <c r="D309">
        <v>126</v>
      </c>
      <c r="E309">
        <v>11123.79</v>
      </c>
      <c r="F309">
        <v>4.4400000000000004</v>
      </c>
      <c r="G309">
        <v>98.4</v>
      </c>
    </row>
    <row r="310" spans="1:7" ht="14" x14ac:dyDescent="0.3">
      <c r="A310" t="s">
        <v>328</v>
      </c>
      <c r="B310" t="s">
        <v>32</v>
      </c>
      <c r="C310">
        <v>72</v>
      </c>
      <c r="D310">
        <v>72</v>
      </c>
      <c r="E310">
        <v>11115.43</v>
      </c>
      <c r="F310">
        <v>4.3099999999999996</v>
      </c>
      <c r="G310">
        <v>95.8</v>
      </c>
    </row>
    <row r="311" spans="1:7" ht="14" x14ac:dyDescent="0.3">
      <c r="A311" t="s">
        <v>329</v>
      </c>
      <c r="B311" t="s">
        <v>8</v>
      </c>
      <c r="C311">
        <v>86</v>
      </c>
      <c r="D311">
        <v>87</v>
      </c>
      <c r="E311">
        <v>11089.16</v>
      </c>
      <c r="F311">
        <v>4.13</v>
      </c>
      <c r="G311">
        <v>97.7</v>
      </c>
    </row>
    <row r="312" spans="1:7" ht="14" x14ac:dyDescent="0.3">
      <c r="A312" t="s">
        <v>330</v>
      </c>
      <c r="B312" t="s">
        <v>8</v>
      </c>
      <c r="C312">
        <v>136</v>
      </c>
      <c r="D312">
        <v>162</v>
      </c>
      <c r="E312">
        <v>11087.42</v>
      </c>
      <c r="F312">
        <v>4.2699999999999996</v>
      </c>
      <c r="G312">
        <v>98.8</v>
      </c>
    </row>
    <row r="313" spans="1:7" ht="14" x14ac:dyDescent="0.3">
      <c r="A313" t="s">
        <v>331</v>
      </c>
      <c r="B313" t="s">
        <v>8</v>
      </c>
      <c r="C313">
        <v>132</v>
      </c>
      <c r="D313">
        <v>137</v>
      </c>
      <c r="E313">
        <v>11076.55</v>
      </c>
      <c r="F313">
        <v>4.21</v>
      </c>
      <c r="G313">
        <v>96.4</v>
      </c>
    </row>
    <row r="314" spans="1:7" ht="14" x14ac:dyDescent="0.3">
      <c r="A314" t="s">
        <v>332</v>
      </c>
      <c r="B314" t="s">
        <v>8</v>
      </c>
      <c r="C314">
        <v>12</v>
      </c>
      <c r="D314">
        <v>12</v>
      </c>
      <c r="E314">
        <v>11062.72</v>
      </c>
      <c r="F314">
        <v>4.33</v>
      </c>
      <c r="G314">
        <v>100</v>
      </c>
    </row>
    <row r="315" spans="1:7" ht="14" x14ac:dyDescent="0.3">
      <c r="A315" t="s">
        <v>333</v>
      </c>
      <c r="B315" t="s">
        <v>8</v>
      </c>
      <c r="C315">
        <v>160</v>
      </c>
      <c r="D315">
        <v>189</v>
      </c>
      <c r="E315">
        <v>10989.44</v>
      </c>
      <c r="F315">
        <v>4.13</v>
      </c>
      <c r="G315">
        <v>92.1</v>
      </c>
    </row>
    <row r="316" spans="1:7" ht="14" x14ac:dyDescent="0.3">
      <c r="A316" t="s">
        <v>334</v>
      </c>
      <c r="B316" t="s">
        <v>8</v>
      </c>
      <c r="C316">
        <v>12</v>
      </c>
      <c r="D316">
        <v>12</v>
      </c>
      <c r="E316">
        <v>10851.45</v>
      </c>
      <c r="F316">
        <v>4.25</v>
      </c>
      <c r="G316">
        <v>100</v>
      </c>
    </row>
    <row r="317" spans="1:7" ht="14" x14ac:dyDescent="0.3">
      <c r="A317" t="s">
        <v>335</v>
      </c>
      <c r="B317" t="s">
        <v>8</v>
      </c>
      <c r="C317">
        <v>216</v>
      </c>
      <c r="D317">
        <v>247</v>
      </c>
      <c r="E317">
        <v>10830.7</v>
      </c>
      <c r="F317">
        <v>3.89</v>
      </c>
      <c r="G317">
        <v>84.2</v>
      </c>
    </row>
    <row r="318" spans="1:7" ht="14" x14ac:dyDescent="0.3">
      <c r="A318" t="s">
        <v>336</v>
      </c>
      <c r="B318" t="s">
        <v>8</v>
      </c>
      <c r="C318">
        <v>52</v>
      </c>
      <c r="D318">
        <v>54</v>
      </c>
      <c r="E318">
        <v>10751.55</v>
      </c>
      <c r="F318">
        <v>4.1900000000000004</v>
      </c>
      <c r="G318">
        <v>92.6</v>
      </c>
    </row>
    <row r="319" spans="1:7" ht="14" x14ac:dyDescent="0.3">
      <c r="A319" t="s">
        <v>337</v>
      </c>
      <c r="B319" t="s">
        <v>87</v>
      </c>
      <c r="C319">
        <v>14</v>
      </c>
      <c r="D319">
        <v>14</v>
      </c>
      <c r="E319">
        <v>10664.81</v>
      </c>
      <c r="F319">
        <v>4.1500000000000004</v>
      </c>
      <c r="G319">
        <v>100</v>
      </c>
    </row>
    <row r="320" spans="1:7" ht="14" x14ac:dyDescent="0.3">
      <c r="A320" t="s">
        <v>338</v>
      </c>
      <c r="B320" t="s">
        <v>24</v>
      </c>
      <c r="C320">
        <v>62</v>
      </c>
      <c r="D320">
        <v>70</v>
      </c>
      <c r="E320">
        <v>10645.3</v>
      </c>
      <c r="F320">
        <v>4.0599999999999996</v>
      </c>
      <c r="G320">
        <v>97.1</v>
      </c>
    </row>
    <row r="321" spans="1:7" ht="14" x14ac:dyDescent="0.3">
      <c r="A321" t="s">
        <v>339</v>
      </c>
      <c r="B321" t="s">
        <v>32</v>
      </c>
      <c r="C321">
        <v>66</v>
      </c>
      <c r="D321">
        <v>72</v>
      </c>
      <c r="E321">
        <v>10611.56</v>
      </c>
      <c r="F321">
        <v>3.97</v>
      </c>
      <c r="G321">
        <v>95.8</v>
      </c>
    </row>
    <row r="322" spans="1:7" ht="14" x14ac:dyDescent="0.3">
      <c r="A322" t="s">
        <v>340</v>
      </c>
      <c r="B322" t="s">
        <v>8</v>
      </c>
      <c r="C322">
        <v>22</v>
      </c>
      <c r="D322">
        <v>22</v>
      </c>
      <c r="E322">
        <v>10561.09</v>
      </c>
      <c r="F322">
        <v>4.45</v>
      </c>
      <c r="G322">
        <v>86.4</v>
      </c>
    </row>
    <row r="323" spans="1:7" ht="14" x14ac:dyDescent="0.3">
      <c r="A323" t="s">
        <v>341</v>
      </c>
      <c r="B323" t="s">
        <v>8</v>
      </c>
      <c r="C323">
        <v>91</v>
      </c>
      <c r="D323">
        <v>96</v>
      </c>
      <c r="E323">
        <v>10552.16</v>
      </c>
      <c r="F323">
        <v>4.4000000000000004</v>
      </c>
      <c r="G323">
        <v>95.8</v>
      </c>
    </row>
    <row r="324" spans="1:7" ht="14" x14ac:dyDescent="0.3">
      <c r="A324" t="s">
        <v>342</v>
      </c>
      <c r="B324" t="s">
        <v>42</v>
      </c>
      <c r="C324">
        <v>123</v>
      </c>
      <c r="D324">
        <v>152</v>
      </c>
      <c r="E324">
        <v>10488.04</v>
      </c>
      <c r="F324">
        <v>4.29</v>
      </c>
      <c r="G324">
        <v>96.1</v>
      </c>
    </row>
    <row r="325" spans="1:7" ht="14" x14ac:dyDescent="0.3">
      <c r="A325" t="s">
        <v>343</v>
      </c>
      <c r="B325" t="s">
        <v>8</v>
      </c>
      <c r="C325">
        <v>93</v>
      </c>
      <c r="D325">
        <v>98</v>
      </c>
      <c r="E325">
        <v>10482.25</v>
      </c>
      <c r="F325">
        <v>4.09</v>
      </c>
      <c r="G325">
        <v>91.8</v>
      </c>
    </row>
    <row r="326" spans="1:7" ht="14" x14ac:dyDescent="0.3">
      <c r="A326" t="s">
        <v>344</v>
      </c>
      <c r="B326" t="s">
        <v>32</v>
      </c>
      <c r="C326">
        <v>7</v>
      </c>
      <c r="D326">
        <v>8</v>
      </c>
      <c r="E326">
        <v>10460.75</v>
      </c>
      <c r="F326">
        <v>4.63</v>
      </c>
      <c r="G326">
        <v>100</v>
      </c>
    </row>
    <row r="327" spans="1:7" ht="14" x14ac:dyDescent="0.3">
      <c r="A327" t="s">
        <v>345</v>
      </c>
      <c r="B327" t="s">
        <v>8</v>
      </c>
      <c r="C327">
        <v>96</v>
      </c>
      <c r="D327">
        <v>104</v>
      </c>
      <c r="E327">
        <v>10373.82</v>
      </c>
      <c r="F327">
        <v>2.97</v>
      </c>
      <c r="G327">
        <v>78.8</v>
      </c>
    </row>
    <row r="328" spans="1:7" ht="14" x14ac:dyDescent="0.3">
      <c r="A328" t="s">
        <v>346</v>
      </c>
      <c r="B328" t="s">
        <v>32</v>
      </c>
      <c r="C328">
        <v>30</v>
      </c>
      <c r="D328">
        <v>30</v>
      </c>
      <c r="E328">
        <v>10356.89</v>
      </c>
      <c r="F328">
        <v>4.4000000000000004</v>
      </c>
      <c r="G328">
        <v>90</v>
      </c>
    </row>
    <row r="329" spans="1:7" ht="14" x14ac:dyDescent="0.3">
      <c r="A329" t="s">
        <v>347</v>
      </c>
      <c r="B329" t="s">
        <v>24</v>
      </c>
      <c r="C329">
        <v>66</v>
      </c>
      <c r="D329">
        <v>67</v>
      </c>
      <c r="E329">
        <v>10352.49</v>
      </c>
      <c r="F329">
        <v>4.34</v>
      </c>
      <c r="G329">
        <v>98.5</v>
      </c>
    </row>
    <row r="330" spans="1:7" ht="14" x14ac:dyDescent="0.3">
      <c r="A330" t="s">
        <v>348</v>
      </c>
      <c r="B330" t="s">
        <v>8</v>
      </c>
      <c r="C330">
        <v>136</v>
      </c>
      <c r="D330">
        <v>145</v>
      </c>
      <c r="E330">
        <v>10340.56</v>
      </c>
      <c r="F330">
        <v>4.2300000000000004</v>
      </c>
      <c r="G330">
        <v>99.3</v>
      </c>
    </row>
    <row r="331" spans="1:7" ht="14" x14ac:dyDescent="0.3">
      <c r="A331" t="s">
        <v>349</v>
      </c>
      <c r="B331" t="s">
        <v>8</v>
      </c>
      <c r="C331">
        <v>34</v>
      </c>
      <c r="D331">
        <v>34</v>
      </c>
      <c r="E331">
        <v>10332.19</v>
      </c>
      <c r="F331">
        <v>3.94</v>
      </c>
      <c r="G331">
        <v>85.3</v>
      </c>
    </row>
    <row r="332" spans="1:7" ht="14" x14ac:dyDescent="0.3">
      <c r="A332" t="s">
        <v>350</v>
      </c>
      <c r="B332" t="s">
        <v>8</v>
      </c>
      <c r="C332">
        <v>50</v>
      </c>
      <c r="D332">
        <v>50</v>
      </c>
      <c r="E332">
        <v>10312.41</v>
      </c>
      <c r="F332">
        <v>4.24</v>
      </c>
      <c r="G332">
        <v>88</v>
      </c>
    </row>
    <row r="333" spans="1:7" ht="14" x14ac:dyDescent="0.3">
      <c r="A333" t="s">
        <v>351</v>
      </c>
      <c r="B333" t="s">
        <v>87</v>
      </c>
      <c r="C333">
        <v>51</v>
      </c>
      <c r="D333">
        <v>54</v>
      </c>
      <c r="E333">
        <v>10250.200000000001</v>
      </c>
      <c r="F333">
        <v>4.22</v>
      </c>
      <c r="G333">
        <v>100</v>
      </c>
    </row>
    <row r="334" spans="1:7" ht="14" x14ac:dyDescent="0.3">
      <c r="A334" t="s">
        <v>352</v>
      </c>
      <c r="B334" t="s">
        <v>87</v>
      </c>
      <c r="C334">
        <v>168</v>
      </c>
      <c r="D334">
        <v>183</v>
      </c>
      <c r="E334">
        <v>10225.31</v>
      </c>
      <c r="F334">
        <v>4.29</v>
      </c>
      <c r="G334">
        <v>97.8</v>
      </c>
    </row>
    <row r="335" spans="1:7" ht="14" x14ac:dyDescent="0.3">
      <c r="A335" t="s">
        <v>353</v>
      </c>
      <c r="B335" t="s">
        <v>22</v>
      </c>
      <c r="C335">
        <v>107</v>
      </c>
      <c r="D335">
        <v>121</v>
      </c>
      <c r="E335">
        <v>10140.99</v>
      </c>
      <c r="F335">
        <v>3.78</v>
      </c>
      <c r="G335">
        <v>88.4</v>
      </c>
    </row>
    <row r="336" spans="1:7" ht="14" x14ac:dyDescent="0.3">
      <c r="A336" t="s">
        <v>354</v>
      </c>
      <c r="B336" t="s">
        <v>152</v>
      </c>
      <c r="C336">
        <v>30</v>
      </c>
      <c r="D336">
        <v>33</v>
      </c>
      <c r="E336">
        <v>10105.35</v>
      </c>
      <c r="F336">
        <v>3.91</v>
      </c>
      <c r="G336">
        <v>97</v>
      </c>
    </row>
    <row r="337" spans="1:7" ht="14" x14ac:dyDescent="0.3">
      <c r="A337" t="s">
        <v>355</v>
      </c>
      <c r="B337" t="s">
        <v>8</v>
      </c>
      <c r="C337">
        <v>37</v>
      </c>
      <c r="D337">
        <v>40</v>
      </c>
      <c r="E337">
        <v>10096.719999999999</v>
      </c>
      <c r="F337">
        <v>4.17</v>
      </c>
      <c r="G337">
        <v>85</v>
      </c>
    </row>
    <row r="338" spans="1:7" ht="14" x14ac:dyDescent="0.3">
      <c r="A338" t="s">
        <v>356</v>
      </c>
      <c r="B338" t="s">
        <v>8</v>
      </c>
      <c r="C338">
        <v>6</v>
      </c>
      <c r="D338">
        <v>6</v>
      </c>
      <c r="E338">
        <v>10050.040000000001</v>
      </c>
      <c r="F338">
        <v>4.5</v>
      </c>
      <c r="G338">
        <v>100</v>
      </c>
    </row>
    <row r="339" spans="1:7" ht="14" x14ac:dyDescent="0.3">
      <c r="A339" t="s">
        <v>357</v>
      </c>
      <c r="B339" t="s">
        <v>8</v>
      </c>
      <c r="C339">
        <v>6</v>
      </c>
      <c r="D339">
        <v>6</v>
      </c>
      <c r="E339">
        <v>10031.56</v>
      </c>
      <c r="F339">
        <v>2.5</v>
      </c>
      <c r="G339">
        <v>83.3</v>
      </c>
    </row>
    <row r="340" spans="1:7" ht="14" x14ac:dyDescent="0.3">
      <c r="A340" t="s">
        <v>358</v>
      </c>
      <c r="B340" t="s">
        <v>8</v>
      </c>
      <c r="C340">
        <v>23</v>
      </c>
      <c r="D340">
        <v>24</v>
      </c>
      <c r="E340">
        <v>10022.07</v>
      </c>
      <c r="F340">
        <v>4.29</v>
      </c>
      <c r="G340">
        <v>91.7</v>
      </c>
    </row>
    <row r="341" spans="1:7" ht="14" x14ac:dyDescent="0.3">
      <c r="A341" t="s">
        <v>359</v>
      </c>
      <c r="B341" t="s">
        <v>42</v>
      </c>
      <c r="C341">
        <v>81</v>
      </c>
      <c r="D341">
        <v>86</v>
      </c>
      <c r="E341">
        <v>10011.15</v>
      </c>
      <c r="F341">
        <v>2.96</v>
      </c>
      <c r="G341">
        <v>88.4</v>
      </c>
    </row>
    <row r="342" spans="1:7" ht="14" x14ac:dyDescent="0.3">
      <c r="A342" t="s">
        <v>360</v>
      </c>
      <c r="B342" t="s">
        <v>8</v>
      </c>
      <c r="C342">
        <v>106</v>
      </c>
      <c r="D342">
        <v>126</v>
      </c>
      <c r="E342">
        <v>10001.31</v>
      </c>
      <c r="F342">
        <v>4.32</v>
      </c>
      <c r="G342">
        <v>96.8</v>
      </c>
    </row>
    <row r="343" spans="1:7" ht="14" x14ac:dyDescent="0.3">
      <c r="A343" t="s">
        <v>361</v>
      </c>
      <c r="B343" t="s">
        <v>8</v>
      </c>
      <c r="C343">
        <v>67</v>
      </c>
      <c r="D343">
        <v>73</v>
      </c>
      <c r="E343">
        <v>9980.7199999999993</v>
      </c>
      <c r="F343">
        <v>3.75</v>
      </c>
      <c r="G343">
        <v>94.5</v>
      </c>
    </row>
    <row r="344" spans="1:7" ht="14" x14ac:dyDescent="0.3">
      <c r="A344" t="s">
        <v>362</v>
      </c>
      <c r="B344" t="s">
        <v>22</v>
      </c>
      <c r="C344">
        <v>63</v>
      </c>
      <c r="D344">
        <v>64</v>
      </c>
      <c r="E344">
        <v>9968.7800000000007</v>
      </c>
      <c r="F344">
        <v>4.0199999999999996</v>
      </c>
      <c r="G344">
        <v>93.8</v>
      </c>
    </row>
    <row r="345" spans="1:7" ht="14" x14ac:dyDescent="0.3">
      <c r="A345" t="s">
        <v>363</v>
      </c>
      <c r="B345" t="s">
        <v>8</v>
      </c>
      <c r="C345">
        <v>115</v>
      </c>
      <c r="D345">
        <v>136</v>
      </c>
      <c r="E345">
        <v>9960.5499999999993</v>
      </c>
      <c r="F345">
        <v>4.29</v>
      </c>
      <c r="G345">
        <v>96.3</v>
      </c>
    </row>
    <row r="346" spans="1:7" ht="14" x14ac:dyDescent="0.3">
      <c r="A346" t="s">
        <v>364</v>
      </c>
      <c r="B346" t="s">
        <v>8</v>
      </c>
      <c r="C346">
        <v>58</v>
      </c>
      <c r="D346">
        <v>66</v>
      </c>
      <c r="E346">
        <v>9925.07</v>
      </c>
      <c r="F346">
        <v>4.28</v>
      </c>
      <c r="G346">
        <v>93.9</v>
      </c>
    </row>
    <row r="347" spans="1:7" ht="14" x14ac:dyDescent="0.3">
      <c r="A347" t="s">
        <v>365</v>
      </c>
      <c r="B347" t="s">
        <v>8</v>
      </c>
      <c r="C347">
        <v>23</v>
      </c>
      <c r="D347">
        <v>30</v>
      </c>
      <c r="E347">
        <v>9920.09</v>
      </c>
      <c r="F347">
        <v>3.57</v>
      </c>
      <c r="G347">
        <v>90</v>
      </c>
    </row>
    <row r="348" spans="1:7" ht="14" x14ac:dyDescent="0.3">
      <c r="A348" t="s">
        <v>366</v>
      </c>
      <c r="B348" t="s">
        <v>8</v>
      </c>
      <c r="C348">
        <v>17</v>
      </c>
      <c r="D348">
        <v>19</v>
      </c>
      <c r="E348">
        <v>9881.76</v>
      </c>
      <c r="F348">
        <v>3.74</v>
      </c>
      <c r="G348">
        <v>100</v>
      </c>
    </row>
    <row r="349" spans="1:7" ht="14" x14ac:dyDescent="0.3">
      <c r="A349" t="s">
        <v>367</v>
      </c>
      <c r="B349" t="s">
        <v>368</v>
      </c>
      <c r="C349">
        <v>54</v>
      </c>
      <c r="D349">
        <v>55</v>
      </c>
      <c r="E349">
        <v>9844.56</v>
      </c>
      <c r="F349">
        <v>4.3600000000000003</v>
      </c>
      <c r="G349">
        <v>96.4</v>
      </c>
    </row>
    <row r="350" spans="1:7" ht="14" x14ac:dyDescent="0.3">
      <c r="A350" t="s">
        <v>369</v>
      </c>
      <c r="B350" t="s">
        <v>8</v>
      </c>
      <c r="C350">
        <v>3</v>
      </c>
      <c r="D350">
        <v>3</v>
      </c>
      <c r="E350">
        <v>9779.4599999999991</v>
      </c>
      <c r="F350">
        <v>4.67</v>
      </c>
      <c r="G350">
        <v>100</v>
      </c>
    </row>
    <row r="351" spans="1:7" ht="14" x14ac:dyDescent="0.3">
      <c r="A351" t="s">
        <v>370</v>
      </c>
      <c r="B351" t="s">
        <v>8</v>
      </c>
      <c r="C351">
        <v>101</v>
      </c>
      <c r="D351">
        <v>111</v>
      </c>
      <c r="E351">
        <v>9645.01</v>
      </c>
      <c r="F351">
        <v>4.4400000000000004</v>
      </c>
      <c r="G351">
        <v>93.7</v>
      </c>
    </row>
    <row r="352" spans="1:7" ht="14" x14ac:dyDescent="0.3">
      <c r="A352" t="s">
        <v>371</v>
      </c>
      <c r="B352" t="s">
        <v>12</v>
      </c>
      <c r="C352">
        <v>18</v>
      </c>
      <c r="D352">
        <v>21</v>
      </c>
      <c r="E352">
        <v>9644.6200000000008</v>
      </c>
      <c r="F352">
        <v>4.5199999999999996</v>
      </c>
      <c r="G352">
        <v>95.2</v>
      </c>
    </row>
    <row r="353" spans="1:7" ht="14" x14ac:dyDescent="0.3">
      <c r="A353" t="s">
        <v>372</v>
      </c>
      <c r="B353" t="s">
        <v>32</v>
      </c>
      <c r="C353">
        <v>16</v>
      </c>
      <c r="D353">
        <v>18</v>
      </c>
      <c r="E353">
        <v>9624.26</v>
      </c>
      <c r="F353">
        <v>4.0599999999999996</v>
      </c>
      <c r="G353">
        <v>100</v>
      </c>
    </row>
    <row r="354" spans="1:7" ht="14" x14ac:dyDescent="0.3">
      <c r="A354" t="s">
        <v>373</v>
      </c>
      <c r="B354" t="s">
        <v>32</v>
      </c>
      <c r="C354">
        <v>26</v>
      </c>
      <c r="D354">
        <v>30</v>
      </c>
      <c r="E354">
        <v>9595.77</v>
      </c>
      <c r="F354">
        <v>4.37</v>
      </c>
      <c r="G354">
        <v>96.7</v>
      </c>
    </row>
    <row r="355" spans="1:7" ht="14" x14ac:dyDescent="0.3">
      <c r="A355" t="s">
        <v>374</v>
      </c>
      <c r="B355" t="s">
        <v>8</v>
      </c>
      <c r="C355">
        <v>55</v>
      </c>
      <c r="D355">
        <v>89</v>
      </c>
      <c r="E355">
        <v>9579.5300000000007</v>
      </c>
      <c r="F355">
        <v>4.26</v>
      </c>
      <c r="G355">
        <v>95.5</v>
      </c>
    </row>
    <row r="356" spans="1:7" ht="14" x14ac:dyDescent="0.3">
      <c r="A356" t="s">
        <v>375</v>
      </c>
      <c r="B356" t="s">
        <v>8</v>
      </c>
      <c r="C356">
        <v>95</v>
      </c>
      <c r="D356">
        <v>106</v>
      </c>
      <c r="E356">
        <v>9520.11</v>
      </c>
      <c r="F356">
        <v>4.2</v>
      </c>
      <c r="G356">
        <v>98.1</v>
      </c>
    </row>
    <row r="357" spans="1:7" ht="14" x14ac:dyDescent="0.3">
      <c r="A357" t="s">
        <v>376</v>
      </c>
      <c r="B357" t="s">
        <v>87</v>
      </c>
      <c r="C357">
        <v>43</v>
      </c>
      <c r="D357">
        <v>47</v>
      </c>
      <c r="E357">
        <v>9431.86</v>
      </c>
      <c r="F357">
        <v>4.62</v>
      </c>
      <c r="G357">
        <v>97.9</v>
      </c>
    </row>
    <row r="358" spans="1:7" ht="14" x14ac:dyDescent="0.3">
      <c r="A358" s="1" t="s">
        <v>377</v>
      </c>
      <c r="B358" t="s">
        <v>8</v>
      </c>
      <c r="C358">
        <v>27</v>
      </c>
      <c r="D358">
        <v>30</v>
      </c>
      <c r="E358">
        <v>9415.91</v>
      </c>
      <c r="F358">
        <v>3.77</v>
      </c>
      <c r="G358">
        <v>93.3</v>
      </c>
    </row>
    <row r="359" spans="1:7" ht="14" x14ac:dyDescent="0.3">
      <c r="A359" t="s">
        <v>378</v>
      </c>
      <c r="B359" t="s">
        <v>24</v>
      </c>
      <c r="C359">
        <v>21</v>
      </c>
      <c r="D359">
        <v>23</v>
      </c>
      <c r="E359">
        <v>9371.7099999999991</v>
      </c>
      <c r="F359">
        <v>4.17</v>
      </c>
      <c r="G359">
        <v>95.7</v>
      </c>
    </row>
    <row r="360" spans="1:7" ht="14" x14ac:dyDescent="0.3">
      <c r="A360" t="s">
        <v>379</v>
      </c>
      <c r="B360" t="s">
        <v>24</v>
      </c>
      <c r="C360">
        <v>21</v>
      </c>
      <c r="D360">
        <v>26</v>
      </c>
      <c r="E360">
        <v>9351.6</v>
      </c>
      <c r="F360">
        <v>3.5</v>
      </c>
      <c r="G360">
        <v>96.2</v>
      </c>
    </row>
    <row r="361" spans="1:7" ht="14" x14ac:dyDescent="0.3">
      <c r="A361" t="s">
        <v>380</v>
      </c>
      <c r="B361" t="s">
        <v>8</v>
      </c>
      <c r="C361">
        <v>227</v>
      </c>
      <c r="D361">
        <v>239</v>
      </c>
      <c r="E361">
        <v>9350.75</v>
      </c>
      <c r="F361">
        <v>4.09</v>
      </c>
      <c r="G361">
        <v>92.1</v>
      </c>
    </row>
    <row r="362" spans="1:7" ht="14" x14ac:dyDescent="0.3">
      <c r="A362" t="s">
        <v>381</v>
      </c>
      <c r="B362" t="s">
        <v>8</v>
      </c>
      <c r="C362">
        <v>82</v>
      </c>
      <c r="D362">
        <v>85</v>
      </c>
      <c r="E362">
        <v>9350.4</v>
      </c>
      <c r="F362">
        <v>4.24</v>
      </c>
      <c r="G362">
        <v>96.5</v>
      </c>
    </row>
    <row r="363" spans="1:7" ht="14" x14ac:dyDescent="0.3">
      <c r="A363" t="s">
        <v>382</v>
      </c>
      <c r="B363" t="s">
        <v>8</v>
      </c>
      <c r="C363">
        <v>109</v>
      </c>
      <c r="D363">
        <v>128</v>
      </c>
      <c r="E363">
        <v>9315.8700000000008</v>
      </c>
      <c r="F363">
        <v>3.52</v>
      </c>
      <c r="G363">
        <v>95.3</v>
      </c>
    </row>
    <row r="364" spans="1:7" ht="14" x14ac:dyDescent="0.3">
      <c r="A364" t="s">
        <v>383</v>
      </c>
      <c r="B364" t="s">
        <v>24</v>
      </c>
      <c r="C364">
        <v>56</v>
      </c>
      <c r="D364">
        <v>66</v>
      </c>
      <c r="E364">
        <v>9309.64</v>
      </c>
      <c r="F364">
        <v>3.78</v>
      </c>
      <c r="G364">
        <v>93.9</v>
      </c>
    </row>
    <row r="365" spans="1:7" ht="14" x14ac:dyDescent="0.3">
      <c r="A365" t="s">
        <v>384</v>
      </c>
      <c r="B365" t="s">
        <v>8</v>
      </c>
      <c r="C365">
        <v>46</v>
      </c>
      <c r="D365">
        <v>61</v>
      </c>
      <c r="E365">
        <v>9289.3700000000008</v>
      </c>
      <c r="F365">
        <v>4.1399999999999997</v>
      </c>
      <c r="G365">
        <v>95.1</v>
      </c>
    </row>
    <row r="366" spans="1:7" ht="14" x14ac:dyDescent="0.3">
      <c r="A366" t="s">
        <v>385</v>
      </c>
      <c r="B366" t="s">
        <v>42</v>
      </c>
      <c r="C366">
        <v>87</v>
      </c>
      <c r="D366">
        <v>130</v>
      </c>
      <c r="E366">
        <v>9282.42</v>
      </c>
      <c r="F366">
        <v>3.6</v>
      </c>
      <c r="G366">
        <v>98.5</v>
      </c>
    </row>
    <row r="367" spans="1:7" ht="14" x14ac:dyDescent="0.3">
      <c r="A367" t="s">
        <v>386</v>
      </c>
      <c r="B367" t="s">
        <v>8</v>
      </c>
      <c r="C367">
        <v>56</v>
      </c>
      <c r="D367">
        <v>61</v>
      </c>
      <c r="E367">
        <v>9281.09</v>
      </c>
      <c r="F367">
        <v>4.3</v>
      </c>
      <c r="G367">
        <v>96.7</v>
      </c>
    </row>
    <row r="368" spans="1:7" ht="14" x14ac:dyDescent="0.3">
      <c r="A368" t="s">
        <v>387</v>
      </c>
      <c r="B368" t="s">
        <v>8</v>
      </c>
      <c r="C368">
        <v>45</v>
      </c>
      <c r="D368">
        <v>46</v>
      </c>
      <c r="E368">
        <v>9208.26</v>
      </c>
      <c r="F368">
        <v>3.8</v>
      </c>
      <c r="G368">
        <v>91.3</v>
      </c>
    </row>
    <row r="369" spans="1:7" ht="14" x14ac:dyDescent="0.3">
      <c r="A369" t="s">
        <v>388</v>
      </c>
      <c r="B369" t="s">
        <v>8</v>
      </c>
      <c r="C369">
        <v>26</v>
      </c>
      <c r="D369">
        <v>40</v>
      </c>
      <c r="E369">
        <v>9191.59</v>
      </c>
      <c r="F369">
        <v>4.22</v>
      </c>
      <c r="G369">
        <v>97.5</v>
      </c>
    </row>
    <row r="370" spans="1:7" ht="14" x14ac:dyDescent="0.3">
      <c r="A370" t="s">
        <v>389</v>
      </c>
      <c r="B370" t="s">
        <v>8</v>
      </c>
      <c r="C370">
        <v>89</v>
      </c>
      <c r="D370">
        <v>93</v>
      </c>
      <c r="E370">
        <v>9166.66</v>
      </c>
      <c r="F370">
        <v>4.54</v>
      </c>
      <c r="G370">
        <v>98.9</v>
      </c>
    </row>
    <row r="371" spans="1:7" ht="14" x14ac:dyDescent="0.3">
      <c r="A371" t="s">
        <v>390</v>
      </c>
      <c r="B371" t="s">
        <v>309</v>
      </c>
      <c r="C371">
        <v>53</v>
      </c>
      <c r="D371">
        <v>56</v>
      </c>
      <c r="E371">
        <v>9164.82</v>
      </c>
      <c r="F371">
        <v>4.34</v>
      </c>
      <c r="G371">
        <v>96.4</v>
      </c>
    </row>
    <row r="372" spans="1:7" ht="14" x14ac:dyDescent="0.3">
      <c r="A372" t="s">
        <v>391</v>
      </c>
      <c r="B372" t="s">
        <v>24</v>
      </c>
      <c r="C372">
        <v>11</v>
      </c>
      <c r="D372">
        <v>11</v>
      </c>
      <c r="E372">
        <v>9164.51</v>
      </c>
      <c r="F372">
        <v>4</v>
      </c>
      <c r="G372">
        <v>100</v>
      </c>
    </row>
    <row r="373" spans="1:7" ht="14" x14ac:dyDescent="0.3">
      <c r="A373" t="s">
        <v>392</v>
      </c>
      <c r="B373" t="s">
        <v>8</v>
      </c>
      <c r="C373">
        <v>143</v>
      </c>
      <c r="D373">
        <v>164</v>
      </c>
      <c r="E373">
        <v>9137.44</v>
      </c>
      <c r="F373">
        <v>4.04</v>
      </c>
      <c r="G373">
        <v>97.6</v>
      </c>
    </row>
    <row r="374" spans="1:7" ht="14" x14ac:dyDescent="0.3">
      <c r="A374" t="s">
        <v>393</v>
      </c>
      <c r="B374" t="s">
        <v>24</v>
      </c>
      <c r="C374">
        <v>94</v>
      </c>
      <c r="D374">
        <v>131</v>
      </c>
      <c r="E374">
        <v>9133.2800000000007</v>
      </c>
      <c r="F374">
        <v>4.01</v>
      </c>
      <c r="G374">
        <v>90.8</v>
      </c>
    </row>
    <row r="375" spans="1:7" ht="14" x14ac:dyDescent="0.3">
      <c r="A375" t="s">
        <v>394</v>
      </c>
      <c r="B375" t="s">
        <v>152</v>
      </c>
      <c r="C375">
        <v>87</v>
      </c>
      <c r="D375">
        <v>90</v>
      </c>
      <c r="E375">
        <v>9128.4699999999993</v>
      </c>
      <c r="F375">
        <v>4.2</v>
      </c>
      <c r="G375">
        <v>93.3</v>
      </c>
    </row>
    <row r="376" spans="1:7" ht="14" x14ac:dyDescent="0.3">
      <c r="A376" t="s">
        <v>395</v>
      </c>
      <c r="B376" t="s">
        <v>32</v>
      </c>
      <c r="C376">
        <v>53</v>
      </c>
      <c r="D376">
        <v>54</v>
      </c>
      <c r="E376">
        <v>9115.0499999999993</v>
      </c>
      <c r="F376">
        <v>4.1500000000000004</v>
      </c>
      <c r="G376">
        <v>98.1</v>
      </c>
    </row>
    <row r="377" spans="1:7" ht="14" x14ac:dyDescent="0.3">
      <c r="A377" t="s">
        <v>396</v>
      </c>
      <c r="B377" t="s">
        <v>8</v>
      </c>
      <c r="C377">
        <v>133</v>
      </c>
      <c r="D377">
        <v>144</v>
      </c>
      <c r="E377">
        <v>9106.08</v>
      </c>
      <c r="F377">
        <v>4.22</v>
      </c>
      <c r="G377">
        <v>97.2</v>
      </c>
    </row>
    <row r="378" spans="1:7" ht="14" x14ac:dyDescent="0.3">
      <c r="A378" t="s">
        <v>397</v>
      </c>
      <c r="B378" t="s">
        <v>8</v>
      </c>
      <c r="C378">
        <v>74</v>
      </c>
      <c r="D378">
        <v>97</v>
      </c>
      <c r="E378">
        <v>9068.82</v>
      </c>
      <c r="F378">
        <v>4.24</v>
      </c>
      <c r="G378">
        <v>94.8</v>
      </c>
    </row>
    <row r="379" spans="1:7" ht="14" x14ac:dyDescent="0.3">
      <c r="A379" t="s">
        <v>398</v>
      </c>
      <c r="B379" t="s">
        <v>87</v>
      </c>
      <c r="C379">
        <v>19</v>
      </c>
      <c r="D379">
        <v>28</v>
      </c>
      <c r="E379">
        <v>9042.36</v>
      </c>
      <c r="F379">
        <v>3.88</v>
      </c>
      <c r="G379">
        <v>96.4</v>
      </c>
    </row>
    <row r="380" spans="1:7" ht="14" x14ac:dyDescent="0.3">
      <c r="A380" t="s">
        <v>399</v>
      </c>
      <c r="B380" t="s">
        <v>8</v>
      </c>
      <c r="C380">
        <v>44</v>
      </c>
      <c r="D380">
        <v>59</v>
      </c>
      <c r="E380">
        <v>9019.17</v>
      </c>
      <c r="F380">
        <v>3.81</v>
      </c>
      <c r="G380">
        <v>88.1</v>
      </c>
    </row>
    <row r="381" spans="1:7" ht="14" x14ac:dyDescent="0.3">
      <c r="A381" t="s">
        <v>400</v>
      </c>
      <c r="B381" t="s">
        <v>8</v>
      </c>
      <c r="C381">
        <v>20</v>
      </c>
      <c r="D381">
        <v>21</v>
      </c>
      <c r="E381">
        <v>8946.34</v>
      </c>
      <c r="F381">
        <v>3.29</v>
      </c>
      <c r="G381">
        <v>71.400000000000006</v>
      </c>
    </row>
    <row r="382" spans="1:7" ht="14" x14ac:dyDescent="0.3">
      <c r="A382" t="s">
        <v>401</v>
      </c>
      <c r="B382" t="s">
        <v>8</v>
      </c>
      <c r="C382">
        <v>148</v>
      </c>
      <c r="D382">
        <v>156</v>
      </c>
      <c r="E382">
        <v>8917.7000000000007</v>
      </c>
      <c r="F382">
        <v>3.73</v>
      </c>
      <c r="G382">
        <v>96.8</v>
      </c>
    </row>
    <row r="383" spans="1:7" ht="14" x14ac:dyDescent="0.3">
      <c r="A383" t="s">
        <v>402</v>
      </c>
      <c r="B383" t="s">
        <v>8</v>
      </c>
      <c r="C383">
        <v>59</v>
      </c>
      <c r="D383">
        <v>70</v>
      </c>
      <c r="E383">
        <v>8914.84</v>
      </c>
      <c r="F383">
        <v>3.9</v>
      </c>
      <c r="G383">
        <v>97.1</v>
      </c>
    </row>
    <row r="384" spans="1:7" ht="14" x14ac:dyDescent="0.3">
      <c r="A384" t="s">
        <v>403</v>
      </c>
      <c r="B384" t="s">
        <v>8</v>
      </c>
      <c r="C384">
        <v>67</v>
      </c>
      <c r="D384">
        <v>84</v>
      </c>
      <c r="E384">
        <v>8881.58</v>
      </c>
      <c r="F384">
        <v>3.5</v>
      </c>
      <c r="G384">
        <v>89.3</v>
      </c>
    </row>
    <row r="385" spans="1:7" ht="14" x14ac:dyDescent="0.3">
      <c r="A385" t="s">
        <v>404</v>
      </c>
      <c r="B385" t="s">
        <v>32</v>
      </c>
      <c r="C385">
        <v>12</v>
      </c>
      <c r="D385">
        <v>12</v>
      </c>
      <c r="E385">
        <v>8806.18</v>
      </c>
      <c r="F385">
        <v>4.75</v>
      </c>
      <c r="G385">
        <v>100</v>
      </c>
    </row>
    <row r="386" spans="1:7" ht="14" x14ac:dyDescent="0.3">
      <c r="A386" t="s">
        <v>405</v>
      </c>
      <c r="B386" t="s">
        <v>8</v>
      </c>
      <c r="C386">
        <v>63</v>
      </c>
      <c r="D386">
        <v>63</v>
      </c>
      <c r="E386">
        <v>8801.84</v>
      </c>
      <c r="F386">
        <v>4.5999999999999996</v>
      </c>
      <c r="G386">
        <v>93.7</v>
      </c>
    </row>
    <row r="387" spans="1:7" ht="14" x14ac:dyDescent="0.3">
      <c r="A387" t="s">
        <v>406</v>
      </c>
      <c r="B387" t="s">
        <v>24</v>
      </c>
      <c r="C387">
        <v>33</v>
      </c>
      <c r="D387">
        <v>34</v>
      </c>
      <c r="E387">
        <v>8798.34</v>
      </c>
      <c r="F387">
        <v>4.16</v>
      </c>
      <c r="G387">
        <v>91.2</v>
      </c>
    </row>
    <row r="388" spans="1:7" ht="14" x14ac:dyDescent="0.3">
      <c r="A388" t="s">
        <v>407</v>
      </c>
      <c r="B388" t="s">
        <v>8</v>
      </c>
      <c r="C388">
        <v>61</v>
      </c>
      <c r="D388">
        <v>74</v>
      </c>
      <c r="E388">
        <v>8794.7999999999993</v>
      </c>
      <c r="F388">
        <v>4.08</v>
      </c>
      <c r="G388">
        <v>90.5</v>
      </c>
    </row>
    <row r="389" spans="1:7" ht="14" x14ac:dyDescent="0.3">
      <c r="A389" t="s">
        <v>408</v>
      </c>
      <c r="B389" t="s">
        <v>8</v>
      </c>
      <c r="C389">
        <v>108</v>
      </c>
      <c r="D389">
        <v>118</v>
      </c>
      <c r="E389">
        <v>8768.26</v>
      </c>
      <c r="F389">
        <v>4.2</v>
      </c>
      <c r="G389">
        <v>95.8</v>
      </c>
    </row>
    <row r="390" spans="1:7" ht="14" x14ac:dyDescent="0.3">
      <c r="A390" t="s">
        <v>409</v>
      </c>
      <c r="B390" t="s">
        <v>8</v>
      </c>
      <c r="C390">
        <v>82</v>
      </c>
      <c r="D390">
        <v>87</v>
      </c>
      <c r="E390">
        <v>8754.4</v>
      </c>
      <c r="F390">
        <v>4.55</v>
      </c>
      <c r="G390">
        <v>97.7</v>
      </c>
    </row>
    <row r="391" spans="1:7" ht="14" x14ac:dyDescent="0.3">
      <c r="A391" t="s">
        <v>410</v>
      </c>
      <c r="B391" t="s">
        <v>8</v>
      </c>
      <c r="C391">
        <v>19</v>
      </c>
      <c r="D391">
        <v>22</v>
      </c>
      <c r="E391">
        <v>8742.35</v>
      </c>
      <c r="F391">
        <v>3.84</v>
      </c>
      <c r="G391">
        <v>90.9</v>
      </c>
    </row>
    <row r="392" spans="1:7" ht="14" x14ac:dyDescent="0.3">
      <c r="A392" t="s">
        <v>411</v>
      </c>
      <c r="B392" t="s">
        <v>8</v>
      </c>
      <c r="C392">
        <v>93</v>
      </c>
      <c r="D392">
        <v>94</v>
      </c>
      <c r="E392">
        <v>8724.27</v>
      </c>
      <c r="F392">
        <v>4.09</v>
      </c>
      <c r="G392">
        <v>91.5</v>
      </c>
    </row>
    <row r="393" spans="1:7" ht="14" x14ac:dyDescent="0.3">
      <c r="A393" t="s">
        <v>412</v>
      </c>
      <c r="B393" t="s">
        <v>8</v>
      </c>
      <c r="C393">
        <v>68</v>
      </c>
      <c r="D393">
        <v>74</v>
      </c>
      <c r="E393">
        <v>8699.32</v>
      </c>
      <c r="F393">
        <v>4.3899999999999997</v>
      </c>
      <c r="G393">
        <v>95.9</v>
      </c>
    </row>
    <row r="394" spans="1:7" ht="14" x14ac:dyDescent="0.3">
      <c r="A394" t="s">
        <v>413</v>
      </c>
      <c r="B394" t="s">
        <v>87</v>
      </c>
      <c r="C394">
        <v>54</v>
      </c>
      <c r="D394">
        <v>59</v>
      </c>
      <c r="E394">
        <v>8663.43</v>
      </c>
      <c r="F394">
        <v>4.0199999999999996</v>
      </c>
      <c r="G394">
        <v>96.6</v>
      </c>
    </row>
    <row r="395" spans="1:7" ht="14" x14ac:dyDescent="0.3">
      <c r="A395" t="s">
        <v>414</v>
      </c>
      <c r="B395" t="s">
        <v>8</v>
      </c>
      <c r="C395">
        <v>93</v>
      </c>
      <c r="D395">
        <v>100</v>
      </c>
      <c r="E395">
        <v>8649.02</v>
      </c>
      <c r="F395">
        <v>4.12</v>
      </c>
      <c r="G395">
        <v>91</v>
      </c>
    </row>
    <row r="396" spans="1:7" ht="14" x14ac:dyDescent="0.3">
      <c r="A396" t="s">
        <v>415</v>
      </c>
      <c r="B396" t="s">
        <v>32</v>
      </c>
      <c r="C396">
        <v>27</v>
      </c>
      <c r="D396">
        <v>35</v>
      </c>
      <c r="E396">
        <v>8638.1</v>
      </c>
      <c r="F396">
        <v>4.32</v>
      </c>
      <c r="G396">
        <v>100</v>
      </c>
    </row>
    <row r="397" spans="1:7" ht="14" x14ac:dyDescent="0.3">
      <c r="A397" t="s">
        <v>416</v>
      </c>
      <c r="B397" t="s">
        <v>8</v>
      </c>
      <c r="C397">
        <v>5</v>
      </c>
      <c r="D397">
        <v>5</v>
      </c>
      <c r="E397">
        <v>8622.3700000000008</v>
      </c>
      <c r="F397">
        <v>4.4000000000000004</v>
      </c>
      <c r="G397">
        <v>60</v>
      </c>
    </row>
    <row r="398" spans="1:7" ht="14" x14ac:dyDescent="0.3">
      <c r="A398" t="s">
        <v>417</v>
      </c>
      <c r="B398" t="s">
        <v>418</v>
      </c>
      <c r="C398">
        <v>14</v>
      </c>
      <c r="D398">
        <v>14</v>
      </c>
      <c r="E398">
        <v>8622.26</v>
      </c>
      <c r="F398">
        <v>4.5</v>
      </c>
      <c r="G398">
        <v>100</v>
      </c>
    </row>
    <row r="399" spans="1:7" ht="14" x14ac:dyDescent="0.3">
      <c r="A399" t="s">
        <v>419</v>
      </c>
      <c r="B399" t="s">
        <v>32</v>
      </c>
      <c r="C399">
        <v>46</v>
      </c>
      <c r="D399">
        <v>53</v>
      </c>
      <c r="E399">
        <v>8586.81</v>
      </c>
      <c r="F399">
        <v>3.98</v>
      </c>
      <c r="G399">
        <v>100</v>
      </c>
    </row>
    <row r="400" spans="1:7" ht="14" x14ac:dyDescent="0.3">
      <c r="A400" t="s">
        <v>420</v>
      </c>
      <c r="B400" t="s">
        <v>8</v>
      </c>
      <c r="C400">
        <v>43</v>
      </c>
      <c r="D400">
        <v>48</v>
      </c>
      <c r="E400">
        <v>8550.83</v>
      </c>
      <c r="F400">
        <v>4.3</v>
      </c>
      <c r="G400">
        <v>89.6</v>
      </c>
    </row>
    <row r="401" spans="1:7" ht="14" x14ac:dyDescent="0.3">
      <c r="A401" t="s">
        <v>421</v>
      </c>
      <c r="B401" t="s">
        <v>8</v>
      </c>
      <c r="C401">
        <v>97</v>
      </c>
      <c r="D401">
        <v>103</v>
      </c>
      <c r="E401">
        <v>8548.4599999999991</v>
      </c>
      <c r="F401">
        <v>4.12</v>
      </c>
      <c r="G401">
        <v>91.3</v>
      </c>
    </row>
    <row r="402" spans="1:7" ht="14" x14ac:dyDescent="0.3">
      <c r="A402" t="s">
        <v>422</v>
      </c>
      <c r="B402" t="s">
        <v>8</v>
      </c>
      <c r="C402">
        <v>67</v>
      </c>
      <c r="D402">
        <v>69</v>
      </c>
      <c r="E402">
        <v>8543.27</v>
      </c>
      <c r="F402">
        <v>3.93</v>
      </c>
      <c r="G402">
        <v>92.8</v>
      </c>
    </row>
    <row r="403" spans="1:7" ht="14" x14ac:dyDescent="0.3">
      <c r="A403" t="s">
        <v>423</v>
      </c>
      <c r="B403" t="s">
        <v>8</v>
      </c>
      <c r="C403">
        <v>55</v>
      </c>
      <c r="D403">
        <v>63</v>
      </c>
      <c r="E403">
        <v>8496.68</v>
      </c>
      <c r="F403">
        <v>4.05</v>
      </c>
      <c r="G403">
        <v>100</v>
      </c>
    </row>
    <row r="404" spans="1:7" ht="14" x14ac:dyDescent="0.3">
      <c r="A404" t="s">
        <v>424</v>
      </c>
      <c r="B404" t="s">
        <v>8</v>
      </c>
      <c r="C404">
        <v>19</v>
      </c>
      <c r="D404">
        <v>19</v>
      </c>
      <c r="E404">
        <v>8496.02</v>
      </c>
      <c r="F404">
        <v>4.1100000000000003</v>
      </c>
      <c r="G404">
        <v>94.7</v>
      </c>
    </row>
    <row r="405" spans="1:7" ht="14" x14ac:dyDescent="0.3">
      <c r="A405" t="s">
        <v>425</v>
      </c>
      <c r="B405" t="s">
        <v>32</v>
      </c>
      <c r="C405">
        <v>6</v>
      </c>
      <c r="D405">
        <v>6</v>
      </c>
      <c r="E405">
        <v>8492.65</v>
      </c>
      <c r="F405">
        <v>3.67</v>
      </c>
      <c r="G405">
        <v>100</v>
      </c>
    </row>
    <row r="406" spans="1:7" ht="14" x14ac:dyDescent="0.3">
      <c r="A406" t="s">
        <v>426</v>
      </c>
      <c r="B406" t="s">
        <v>8</v>
      </c>
      <c r="C406">
        <v>16</v>
      </c>
      <c r="D406">
        <v>16</v>
      </c>
      <c r="E406">
        <v>8487.2199999999993</v>
      </c>
      <c r="F406">
        <v>3.2</v>
      </c>
      <c r="G406">
        <v>81.3</v>
      </c>
    </row>
    <row r="407" spans="1:7" ht="14" x14ac:dyDescent="0.3">
      <c r="A407" t="s">
        <v>427</v>
      </c>
      <c r="B407" t="s">
        <v>8</v>
      </c>
      <c r="C407">
        <v>5</v>
      </c>
      <c r="D407">
        <v>5</v>
      </c>
      <c r="E407">
        <v>8483.35</v>
      </c>
      <c r="F407">
        <v>4.2</v>
      </c>
      <c r="G407">
        <v>100</v>
      </c>
    </row>
    <row r="408" spans="1:7" ht="14" x14ac:dyDescent="0.3">
      <c r="A408" t="s">
        <v>428</v>
      </c>
      <c r="B408" t="s">
        <v>8</v>
      </c>
      <c r="C408">
        <v>124</v>
      </c>
      <c r="D408">
        <v>171</v>
      </c>
      <c r="E408">
        <v>8470.09</v>
      </c>
      <c r="F408">
        <v>3.95</v>
      </c>
      <c r="G408">
        <v>83.6</v>
      </c>
    </row>
    <row r="409" spans="1:7" ht="14" x14ac:dyDescent="0.3">
      <c r="A409" t="s">
        <v>429</v>
      </c>
      <c r="B409" t="s">
        <v>8</v>
      </c>
      <c r="C409">
        <v>40</v>
      </c>
      <c r="D409">
        <v>42</v>
      </c>
      <c r="E409">
        <v>8460.34</v>
      </c>
      <c r="F409">
        <v>4.1900000000000004</v>
      </c>
      <c r="G409">
        <v>95.2</v>
      </c>
    </row>
    <row r="410" spans="1:7" ht="14" x14ac:dyDescent="0.3">
      <c r="A410" t="s">
        <v>430</v>
      </c>
      <c r="B410" t="s">
        <v>8</v>
      </c>
      <c r="C410">
        <v>110</v>
      </c>
      <c r="D410">
        <v>128</v>
      </c>
      <c r="E410">
        <v>8438.4</v>
      </c>
      <c r="F410">
        <v>4.18</v>
      </c>
      <c r="G410">
        <v>94.5</v>
      </c>
    </row>
    <row r="411" spans="1:7" ht="14" x14ac:dyDescent="0.3">
      <c r="A411" t="s">
        <v>431</v>
      </c>
      <c r="B411" t="s">
        <v>8</v>
      </c>
      <c r="C411">
        <v>60</v>
      </c>
      <c r="D411">
        <v>63</v>
      </c>
      <c r="E411">
        <v>8428.7800000000007</v>
      </c>
      <c r="F411">
        <v>4.38</v>
      </c>
      <c r="G411">
        <v>92.1</v>
      </c>
    </row>
    <row r="412" spans="1:7" ht="14" x14ac:dyDescent="0.3">
      <c r="A412" t="s">
        <v>432</v>
      </c>
      <c r="B412" t="s">
        <v>8</v>
      </c>
      <c r="C412">
        <v>5</v>
      </c>
      <c r="D412">
        <v>5</v>
      </c>
      <c r="E412">
        <v>8359.02</v>
      </c>
      <c r="F412">
        <v>3</v>
      </c>
      <c r="G412">
        <v>80</v>
      </c>
    </row>
    <row r="413" spans="1:7" ht="14" x14ac:dyDescent="0.3">
      <c r="A413" t="s">
        <v>433</v>
      </c>
      <c r="B413" t="s">
        <v>32</v>
      </c>
      <c r="C413">
        <v>46</v>
      </c>
      <c r="D413">
        <v>46</v>
      </c>
      <c r="E413">
        <v>8355.01</v>
      </c>
      <c r="F413">
        <v>4.3899999999999997</v>
      </c>
      <c r="G413">
        <v>97.8</v>
      </c>
    </row>
    <row r="414" spans="1:7" ht="14" x14ac:dyDescent="0.3">
      <c r="A414" t="s">
        <v>434</v>
      </c>
      <c r="B414" t="s">
        <v>152</v>
      </c>
      <c r="C414">
        <v>34</v>
      </c>
      <c r="D414">
        <v>39</v>
      </c>
      <c r="E414">
        <v>8341.3700000000008</v>
      </c>
      <c r="F414">
        <v>4.28</v>
      </c>
      <c r="G414">
        <v>97.4</v>
      </c>
    </row>
    <row r="415" spans="1:7" ht="14" x14ac:dyDescent="0.3">
      <c r="A415" t="s">
        <v>435</v>
      </c>
      <c r="B415" t="s">
        <v>8</v>
      </c>
      <c r="C415">
        <v>126</v>
      </c>
      <c r="D415">
        <v>169</v>
      </c>
      <c r="E415">
        <v>8338.86</v>
      </c>
      <c r="F415">
        <v>3.94</v>
      </c>
      <c r="G415">
        <v>94.1</v>
      </c>
    </row>
    <row r="416" spans="1:7" ht="14" x14ac:dyDescent="0.3">
      <c r="A416" t="s">
        <v>436</v>
      </c>
      <c r="B416" t="s">
        <v>24</v>
      </c>
      <c r="C416">
        <v>98</v>
      </c>
      <c r="D416">
        <v>109</v>
      </c>
      <c r="E416">
        <v>8331.0499999999993</v>
      </c>
      <c r="F416">
        <v>4.33</v>
      </c>
      <c r="G416">
        <v>96.3</v>
      </c>
    </row>
    <row r="417" spans="1:7" ht="14" x14ac:dyDescent="0.3">
      <c r="A417" t="s">
        <v>437</v>
      </c>
      <c r="B417" t="s">
        <v>309</v>
      </c>
      <c r="C417">
        <v>42</v>
      </c>
      <c r="D417">
        <v>42</v>
      </c>
      <c r="E417">
        <v>8319.7099999999991</v>
      </c>
      <c r="F417">
        <v>4.8099999999999996</v>
      </c>
      <c r="G417">
        <v>100</v>
      </c>
    </row>
    <row r="418" spans="1:7" ht="14" x14ac:dyDescent="0.3">
      <c r="A418" t="s">
        <v>438</v>
      </c>
      <c r="B418" t="s">
        <v>8</v>
      </c>
      <c r="C418">
        <v>41</v>
      </c>
      <c r="D418">
        <v>41</v>
      </c>
      <c r="E418">
        <v>8316.6299999999992</v>
      </c>
      <c r="F418">
        <v>3.93</v>
      </c>
      <c r="G418">
        <v>87.8</v>
      </c>
    </row>
    <row r="419" spans="1:7" ht="14" x14ac:dyDescent="0.3">
      <c r="A419" t="s">
        <v>439</v>
      </c>
      <c r="B419" t="s">
        <v>8</v>
      </c>
      <c r="C419">
        <v>61</v>
      </c>
      <c r="D419">
        <v>67</v>
      </c>
      <c r="E419">
        <v>8315.7999999999993</v>
      </c>
      <c r="F419">
        <v>4.45</v>
      </c>
      <c r="G419">
        <v>97</v>
      </c>
    </row>
    <row r="420" spans="1:7" ht="14" x14ac:dyDescent="0.3">
      <c r="A420" t="s">
        <v>440</v>
      </c>
      <c r="B420" t="s">
        <v>22</v>
      </c>
      <c r="C420">
        <v>13</v>
      </c>
      <c r="D420">
        <v>18</v>
      </c>
      <c r="E420">
        <v>8288.85</v>
      </c>
      <c r="F420">
        <v>2.72</v>
      </c>
      <c r="G420">
        <v>100</v>
      </c>
    </row>
    <row r="421" spans="1:7" ht="14" x14ac:dyDescent="0.3">
      <c r="A421" t="s">
        <v>441</v>
      </c>
      <c r="B421" t="s">
        <v>8</v>
      </c>
      <c r="C421">
        <v>38</v>
      </c>
      <c r="D421">
        <v>38</v>
      </c>
      <c r="E421">
        <v>8213.1200000000008</v>
      </c>
      <c r="F421">
        <v>3.34</v>
      </c>
      <c r="G421">
        <v>68.400000000000006</v>
      </c>
    </row>
    <row r="422" spans="1:7" ht="14" x14ac:dyDescent="0.3">
      <c r="A422" t="s">
        <v>442</v>
      </c>
      <c r="B422" t="s">
        <v>418</v>
      </c>
      <c r="C422">
        <v>16</v>
      </c>
      <c r="D422">
        <v>16</v>
      </c>
      <c r="E422">
        <v>8174.8</v>
      </c>
      <c r="F422">
        <v>4.38</v>
      </c>
      <c r="G422">
        <v>93.8</v>
      </c>
    </row>
    <row r="423" spans="1:7" ht="14" x14ac:dyDescent="0.3">
      <c r="A423" t="s">
        <v>443</v>
      </c>
      <c r="B423" t="s">
        <v>8</v>
      </c>
      <c r="C423">
        <v>77</v>
      </c>
      <c r="D423">
        <v>77</v>
      </c>
      <c r="E423">
        <v>8150.21</v>
      </c>
      <c r="F423">
        <v>4.04</v>
      </c>
      <c r="G423">
        <v>88.3</v>
      </c>
    </row>
    <row r="424" spans="1:7" ht="14" x14ac:dyDescent="0.3">
      <c r="A424" t="s">
        <v>444</v>
      </c>
      <c r="B424" t="s">
        <v>8</v>
      </c>
      <c r="C424">
        <v>43</v>
      </c>
      <c r="D424">
        <v>51</v>
      </c>
      <c r="E424">
        <v>8145.17</v>
      </c>
      <c r="F424">
        <v>4.33</v>
      </c>
      <c r="G424">
        <v>98</v>
      </c>
    </row>
    <row r="425" spans="1:7" ht="14" x14ac:dyDescent="0.3">
      <c r="A425" t="s">
        <v>445</v>
      </c>
      <c r="B425" t="s">
        <v>8</v>
      </c>
      <c r="C425">
        <v>39</v>
      </c>
      <c r="D425">
        <v>40</v>
      </c>
      <c r="E425">
        <v>8125.52</v>
      </c>
      <c r="F425">
        <v>3.7</v>
      </c>
      <c r="G425">
        <v>87.5</v>
      </c>
    </row>
    <row r="426" spans="1:7" ht="14" x14ac:dyDescent="0.3">
      <c r="A426" t="s">
        <v>446</v>
      </c>
      <c r="B426" t="s">
        <v>8</v>
      </c>
      <c r="C426">
        <v>19</v>
      </c>
      <c r="D426">
        <v>19</v>
      </c>
      <c r="E426">
        <v>8114.6</v>
      </c>
      <c r="F426">
        <v>4</v>
      </c>
      <c r="G426">
        <v>89.5</v>
      </c>
    </row>
    <row r="427" spans="1:7" ht="14" x14ac:dyDescent="0.3">
      <c r="A427" t="s">
        <v>447</v>
      </c>
      <c r="B427" t="s">
        <v>87</v>
      </c>
      <c r="C427">
        <v>12</v>
      </c>
      <c r="D427">
        <v>12</v>
      </c>
      <c r="E427">
        <v>8113.03</v>
      </c>
      <c r="F427">
        <v>4.08</v>
      </c>
      <c r="G427">
        <v>91.7</v>
      </c>
    </row>
    <row r="428" spans="1:7" ht="14" x14ac:dyDescent="0.3">
      <c r="A428" t="s">
        <v>448</v>
      </c>
      <c r="B428" t="s">
        <v>24</v>
      </c>
      <c r="C428">
        <v>100</v>
      </c>
      <c r="D428">
        <v>108</v>
      </c>
      <c r="E428">
        <v>8098.61</v>
      </c>
      <c r="F428">
        <v>4.0199999999999996</v>
      </c>
      <c r="G428">
        <v>94.4</v>
      </c>
    </row>
    <row r="429" spans="1:7" ht="14" x14ac:dyDescent="0.3">
      <c r="A429" t="s">
        <v>449</v>
      </c>
      <c r="B429" t="s">
        <v>32</v>
      </c>
      <c r="C429">
        <v>21</v>
      </c>
      <c r="D429">
        <v>21</v>
      </c>
      <c r="E429">
        <v>8051.34</v>
      </c>
      <c r="F429">
        <v>4.5199999999999996</v>
      </c>
      <c r="G429">
        <v>100</v>
      </c>
    </row>
    <row r="430" spans="1:7" ht="14" x14ac:dyDescent="0.3">
      <c r="A430" t="s">
        <v>450</v>
      </c>
      <c r="B430" t="s">
        <v>12</v>
      </c>
      <c r="C430">
        <v>27</v>
      </c>
      <c r="D430">
        <v>28</v>
      </c>
      <c r="E430">
        <v>8047.44</v>
      </c>
      <c r="F430">
        <v>4</v>
      </c>
      <c r="G430">
        <v>85.7</v>
      </c>
    </row>
    <row r="431" spans="1:7" ht="14" x14ac:dyDescent="0.3">
      <c r="A431" t="s">
        <v>451</v>
      </c>
      <c r="B431" t="s">
        <v>8</v>
      </c>
      <c r="C431">
        <v>125</v>
      </c>
      <c r="D431">
        <v>133</v>
      </c>
      <c r="E431">
        <v>8038.22</v>
      </c>
      <c r="F431">
        <v>4.18</v>
      </c>
      <c r="G431">
        <v>92.5</v>
      </c>
    </row>
    <row r="432" spans="1:7" ht="14" x14ac:dyDescent="0.3">
      <c r="A432" t="s">
        <v>452</v>
      </c>
      <c r="B432" t="s">
        <v>24</v>
      </c>
      <c r="C432">
        <v>42</v>
      </c>
      <c r="D432">
        <v>48</v>
      </c>
      <c r="E432">
        <v>8036.6</v>
      </c>
      <c r="F432">
        <v>3.98</v>
      </c>
      <c r="G432">
        <v>93.8</v>
      </c>
    </row>
    <row r="433" spans="1:7" ht="14" x14ac:dyDescent="0.3">
      <c r="A433" t="s">
        <v>453</v>
      </c>
      <c r="B433" t="s">
        <v>8</v>
      </c>
      <c r="C433">
        <v>18</v>
      </c>
      <c r="D433">
        <v>25</v>
      </c>
      <c r="E433">
        <v>8027.57</v>
      </c>
      <c r="F433">
        <v>4.32</v>
      </c>
      <c r="G433">
        <v>92</v>
      </c>
    </row>
    <row r="434" spans="1:7" ht="14" x14ac:dyDescent="0.3">
      <c r="A434" t="s">
        <v>454</v>
      </c>
      <c r="B434" t="s">
        <v>24</v>
      </c>
      <c r="C434">
        <v>35</v>
      </c>
      <c r="D434">
        <v>40</v>
      </c>
      <c r="E434">
        <v>7973.21</v>
      </c>
      <c r="F434">
        <v>4.3499999999999996</v>
      </c>
      <c r="G434">
        <v>87.5</v>
      </c>
    </row>
    <row r="435" spans="1:7" ht="14" x14ac:dyDescent="0.3">
      <c r="A435" t="s">
        <v>455</v>
      </c>
      <c r="B435" t="s">
        <v>8</v>
      </c>
      <c r="C435">
        <v>24</v>
      </c>
      <c r="D435">
        <v>31</v>
      </c>
      <c r="E435">
        <v>7965.01</v>
      </c>
      <c r="F435">
        <v>4.13</v>
      </c>
      <c r="G435">
        <v>93.5</v>
      </c>
    </row>
    <row r="436" spans="1:7" ht="14" x14ac:dyDescent="0.3">
      <c r="A436" t="s">
        <v>456</v>
      </c>
      <c r="B436" t="s">
        <v>8</v>
      </c>
      <c r="C436">
        <v>3</v>
      </c>
      <c r="D436">
        <v>3</v>
      </c>
      <c r="E436">
        <v>7939.25</v>
      </c>
      <c r="F436">
        <v>4.33</v>
      </c>
      <c r="G436">
        <v>100</v>
      </c>
    </row>
    <row r="437" spans="1:7" ht="14" x14ac:dyDescent="0.3">
      <c r="A437" t="s">
        <v>457</v>
      </c>
      <c r="B437" t="s">
        <v>32</v>
      </c>
      <c r="C437">
        <v>77</v>
      </c>
      <c r="D437">
        <v>86</v>
      </c>
      <c r="E437">
        <v>7930.47</v>
      </c>
      <c r="F437">
        <v>4.3499999999999996</v>
      </c>
      <c r="G437">
        <v>95.3</v>
      </c>
    </row>
    <row r="438" spans="1:7" ht="14" x14ac:dyDescent="0.3">
      <c r="A438" t="s">
        <v>458</v>
      </c>
      <c r="B438" t="s">
        <v>32</v>
      </c>
      <c r="C438">
        <v>36</v>
      </c>
      <c r="D438">
        <v>39</v>
      </c>
      <c r="E438">
        <v>7908.88</v>
      </c>
      <c r="F438">
        <v>3.9</v>
      </c>
      <c r="G438">
        <v>87.2</v>
      </c>
    </row>
    <row r="439" spans="1:7" ht="14" x14ac:dyDescent="0.3">
      <c r="A439" t="s">
        <v>459</v>
      </c>
      <c r="B439" t="s">
        <v>8</v>
      </c>
      <c r="C439">
        <v>66</v>
      </c>
      <c r="D439">
        <v>68</v>
      </c>
      <c r="E439">
        <v>7907.55</v>
      </c>
      <c r="F439">
        <v>4.8099999999999996</v>
      </c>
      <c r="G439">
        <v>91.2</v>
      </c>
    </row>
    <row r="440" spans="1:7" ht="14" x14ac:dyDescent="0.3">
      <c r="A440" s="1" t="s">
        <v>460</v>
      </c>
      <c r="B440" t="s">
        <v>22</v>
      </c>
      <c r="C440">
        <v>74</v>
      </c>
      <c r="D440">
        <v>82</v>
      </c>
      <c r="E440">
        <v>7905.69</v>
      </c>
      <c r="F440">
        <v>4.6100000000000003</v>
      </c>
      <c r="G440">
        <v>97.6</v>
      </c>
    </row>
    <row r="441" spans="1:7" ht="14" x14ac:dyDescent="0.3">
      <c r="A441" t="s">
        <v>461</v>
      </c>
      <c r="B441" t="s">
        <v>24</v>
      </c>
      <c r="C441">
        <v>44</v>
      </c>
      <c r="D441">
        <v>45</v>
      </c>
      <c r="E441">
        <v>7903.69</v>
      </c>
      <c r="F441">
        <v>4.16</v>
      </c>
      <c r="G441">
        <v>93.3</v>
      </c>
    </row>
    <row r="442" spans="1:7" ht="14" x14ac:dyDescent="0.3">
      <c r="A442" t="s">
        <v>462</v>
      </c>
      <c r="B442" t="s">
        <v>8</v>
      </c>
      <c r="C442">
        <v>92</v>
      </c>
      <c r="D442">
        <v>94</v>
      </c>
      <c r="E442">
        <v>7883.07</v>
      </c>
      <c r="F442">
        <v>4.38</v>
      </c>
      <c r="G442">
        <v>95.7</v>
      </c>
    </row>
    <row r="443" spans="1:7" ht="14" x14ac:dyDescent="0.3">
      <c r="A443" t="s">
        <v>463</v>
      </c>
      <c r="B443" t="s">
        <v>32</v>
      </c>
      <c r="C443">
        <v>15</v>
      </c>
      <c r="D443">
        <v>15</v>
      </c>
      <c r="E443">
        <v>7877.96</v>
      </c>
      <c r="F443">
        <v>4.67</v>
      </c>
      <c r="G443">
        <v>100</v>
      </c>
    </row>
    <row r="444" spans="1:7" ht="14" x14ac:dyDescent="0.3">
      <c r="A444" t="s">
        <v>464</v>
      </c>
      <c r="B444" t="s">
        <v>42</v>
      </c>
      <c r="C444">
        <v>55</v>
      </c>
      <c r="D444">
        <v>60</v>
      </c>
      <c r="E444">
        <v>7875.71</v>
      </c>
      <c r="F444">
        <v>3.98</v>
      </c>
      <c r="G444">
        <v>100</v>
      </c>
    </row>
    <row r="445" spans="1:7" ht="14" x14ac:dyDescent="0.3">
      <c r="A445" t="s">
        <v>465</v>
      </c>
      <c r="B445" t="s">
        <v>32</v>
      </c>
      <c r="C445">
        <v>79</v>
      </c>
      <c r="D445">
        <v>89</v>
      </c>
      <c r="E445">
        <v>7807.4</v>
      </c>
      <c r="F445">
        <v>4.0199999999999996</v>
      </c>
      <c r="G445">
        <v>96.6</v>
      </c>
    </row>
    <row r="446" spans="1:7" ht="14" x14ac:dyDescent="0.3">
      <c r="A446" t="s">
        <v>466</v>
      </c>
      <c r="B446" t="s">
        <v>8</v>
      </c>
      <c r="C446">
        <v>8</v>
      </c>
      <c r="D446">
        <v>8</v>
      </c>
      <c r="E446">
        <v>7785.48</v>
      </c>
      <c r="F446">
        <v>4.25</v>
      </c>
      <c r="G446">
        <v>100</v>
      </c>
    </row>
    <row r="447" spans="1:7" ht="14" x14ac:dyDescent="0.3">
      <c r="A447" t="s">
        <v>467</v>
      </c>
      <c r="B447" t="s">
        <v>22</v>
      </c>
      <c r="C447">
        <v>88</v>
      </c>
      <c r="D447">
        <v>97</v>
      </c>
      <c r="E447">
        <v>7780.34</v>
      </c>
      <c r="F447">
        <v>3.72</v>
      </c>
      <c r="G447">
        <v>90.7</v>
      </c>
    </row>
    <row r="448" spans="1:7" ht="14" x14ac:dyDescent="0.3">
      <c r="A448" t="s">
        <v>468</v>
      </c>
      <c r="B448" t="s">
        <v>24</v>
      </c>
      <c r="C448">
        <v>122</v>
      </c>
      <c r="D448">
        <v>128</v>
      </c>
      <c r="E448">
        <v>7773.48</v>
      </c>
      <c r="F448">
        <v>4.53</v>
      </c>
      <c r="G448">
        <v>96.1</v>
      </c>
    </row>
    <row r="449" spans="1:7" ht="14" x14ac:dyDescent="0.3">
      <c r="A449" t="s">
        <v>469</v>
      </c>
      <c r="B449" t="s">
        <v>32</v>
      </c>
      <c r="C449">
        <v>23</v>
      </c>
      <c r="D449">
        <v>28</v>
      </c>
      <c r="E449">
        <v>7768.5</v>
      </c>
      <c r="F449">
        <v>4.33</v>
      </c>
      <c r="G449">
        <v>96.4</v>
      </c>
    </row>
    <row r="450" spans="1:7" ht="14" x14ac:dyDescent="0.3">
      <c r="A450" t="s">
        <v>470</v>
      </c>
      <c r="B450" t="s">
        <v>42</v>
      </c>
      <c r="C450">
        <v>108</v>
      </c>
      <c r="D450">
        <v>118</v>
      </c>
      <c r="E450">
        <v>7754.67</v>
      </c>
      <c r="F450">
        <v>4.33</v>
      </c>
      <c r="G450">
        <v>98.3</v>
      </c>
    </row>
    <row r="451" spans="1:7" ht="14" x14ac:dyDescent="0.3">
      <c r="A451" t="s">
        <v>471</v>
      </c>
      <c r="B451" t="s">
        <v>8</v>
      </c>
      <c r="C451">
        <v>81</v>
      </c>
      <c r="D451">
        <v>99</v>
      </c>
      <c r="E451">
        <v>7745.72</v>
      </c>
      <c r="F451">
        <v>3.79</v>
      </c>
      <c r="G451">
        <v>96</v>
      </c>
    </row>
    <row r="452" spans="1:7" ht="14" x14ac:dyDescent="0.3">
      <c r="A452" t="s">
        <v>472</v>
      </c>
      <c r="B452" t="s">
        <v>22</v>
      </c>
      <c r="C452">
        <v>11</v>
      </c>
      <c r="D452">
        <v>12</v>
      </c>
      <c r="E452">
        <v>7723.87</v>
      </c>
      <c r="F452">
        <v>4.25</v>
      </c>
      <c r="G452">
        <v>100</v>
      </c>
    </row>
    <row r="453" spans="1:7" ht="14" x14ac:dyDescent="0.3">
      <c r="A453" t="s">
        <v>473</v>
      </c>
      <c r="B453" t="s">
        <v>8</v>
      </c>
      <c r="C453">
        <v>35</v>
      </c>
      <c r="D453">
        <v>37</v>
      </c>
      <c r="E453">
        <v>7701.18</v>
      </c>
      <c r="F453">
        <v>3.81</v>
      </c>
      <c r="G453">
        <v>83.8</v>
      </c>
    </row>
    <row r="454" spans="1:7" ht="14" x14ac:dyDescent="0.3">
      <c r="A454" t="s">
        <v>474</v>
      </c>
      <c r="B454" t="s">
        <v>8</v>
      </c>
      <c r="C454">
        <v>78</v>
      </c>
      <c r="D454">
        <v>105</v>
      </c>
      <c r="E454">
        <v>7700.4</v>
      </c>
      <c r="F454">
        <v>3.8</v>
      </c>
      <c r="G454">
        <v>91.4</v>
      </c>
    </row>
    <row r="455" spans="1:7" ht="14" x14ac:dyDescent="0.3">
      <c r="A455" t="s">
        <v>475</v>
      </c>
      <c r="B455" t="s">
        <v>309</v>
      </c>
      <c r="C455">
        <v>57</v>
      </c>
      <c r="D455">
        <v>58</v>
      </c>
      <c r="E455">
        <v>7693.63</v>
      </c>
      <c r="F455">
        <v>4.67</v>
      </c>
      <c r="G455">
        <v>96.6</v>
      </c>
    </row>
    <row r="456" spans="1:7" ht="14" x14ac:dyDescent="0.3">
      <c r="A456" t="s">
        <v>476</v>
      </c>
      <c r="B456" t="s">
        <v>24</v>
      </c>
      <c r="C456">
        <v>14</v>
      </c>
      <c r="D456">
        <v>15</v>
      </c>
      <c r="E456">
        <v>7686.31</v>
      </c>
      <c r="F456">
        <v>3.67</v>
      </c>
      <c r="G456">
        <v>86.7</v>
      </c>
    </row>
    <row r="457" spans="1:7" ht="14" x14ac:dyDescent="0.3">
      <c r="A457" t="s">
        <v>477</v>
      </c>
      <c r="B457" t="s">
        <v>8</v>
      </c>
      <c r="C457">
        <v>54</v>
      </c>
      <c r="D457">
        <v>61</v>
      </c>
      <c r="E457">
        <v>7682.11</v>
      </c>
      <c r="F457">
        <v>4.82</v>
      </c>
      <c r="G457">
        <v>95.1</v>
      </c>
    </row>
    <row r="458" spans="1:7" ht="14" x14ac:dyDescent="0.3">
      <c r="A458" t="s">
        <v>478</v>
      </c>
      <c r="B458" t="s">
        <v>8</v>
      </c>
      <c r="C458">
        <v>46</v>
      </c>
      <c r="D458">
        <v>49</v>
      </c>
      <c r="E458">
        <v>7666.95</v>
      </c>
      <c r="F458">
        <v>4.0599999999999996</v>
      </c>
      <c r="G458">
        <v>87.8</v>
      </c>
    </row>
    <row r="459" spans="1:7" ht="14" x14ac:dyDescent="0.3">
      <c r="A459" t="s">
        <v>479</v>
      </c>
      <c r="B459" t="s">
        <v>8</v>
      </c>
      <c r="C459">
        <v>5</v>
      </c>
      <c r="D459">
        <v>5</v>
      </c>
      <c r="E459">
        <v>7579.55</v>
      </c>
      <c r="F459">
        <v>3.2</v>
      </c>
      <c r="G459">
        <v>100</v>
      </c>
    </row>
    <row r="460" spans="1:7" ht="14" x14ac:dyDescent="0.3">
      <c r="A460" t="s">
        <v>480</v>
      </c>
      <c r="B460" t="s">
        <v>8</v>
      </c>
      <c r="C460">
        <v>11</v>
      </c>
      <c r="D460">
        <v>11</v>
      </c>
      <c r="E460">
        <v>7570.67</v>
      </c>
      <c r="F460">
        <v>4</v>
      </c>
      <c r="G460">
        <v>90.9</v>
      </c>
    </row>
    <row r="461" spans="1:7" ht="14" x14ac:dyDescent="0.3">
      <c r="A461" s="1" t="s">
        <v>481</v>
      </c>
      <c r="B461" t="s">
        <v>42</v>
      </c>
      <c r="C461">
        <v>62</v>
      </c>
      <c r="D461">
        <v>65</v>
      </c>
      <c r="E461">
        <v>7558.04</v>
      </c>
      <c r="F461">
        <v>4.45</v>
      </c>
      <c r="G461">
        <v>100</v>
      </c>
    </row>
    <row r="462" spans="1:7" ht="14" x14ac:dyDescent="0.3">
      <c r="A462" t="s">
        <v>482</v>
      </c>
      <c r="B462" t="s">
        <v>87</v>
      </c>
      <c r="C462">
        <v>18</v>
      </c>
      <c r="D462">
        <v>31</v>
      </c>
      <c r="E462">
        <v>7549.71</v>
      </c>
      <c r="F462">
        <v>3.58</v>
      </c>
      <c r="G462">
        <v>96.8</v>
      </c>
    </row>
    <row r="463" spans="1:7" ht="14" x14ac:dyDescent="0.3">
      <c r="A463" t="s">
        <v>483</v>
      </c>
      <c r="B463" t="s">
        <v>8</v>
      </c>
      <c r="C463">
        <v>51</v>
      </c>
      <c r="D463">
        <v>68</v>
      </c>
      <c r="E463">
        <v>7540.98</v>
      </c>
      <c r="F463">
        <v>3.71</v>
      </c>
      <c r="G463">
        <v>98.5</v>
      </c>
    </row>
    <row r="464" spans="1:7" ht="14" x14ac:dyDescent="0.3">
      <c r="A464" t="s">
        <v>484</v>
      </c>
      <c r="B464" t="s">
        <v>22</v>
      </c>
      <c r="C464">
        <v>46</v>
      </c>
      <c r="D464">
        <v>54</v>
      </c>
      <c r="E464">
        <v>7535.52</v>
      </c>
      <c r="F464">
        <v>4.74</v>
      </c>
      <c r="G464">
        <v>98.1</v>
      </c>
    </row>
    <row r="465" spans="1:7" ht="14" x14ac:dyDescent="0.3">
      <c r="A465" t="s">
        <v>485</v>
      </c>
      <c r="B465" t="s">
        <v>8</v>
      </c>
      <c r="C465">
        <v>36</v>
      </c>
      <c r="D465">
        <v>38</v>
      </c>
      <c r="E465">
        <v>7482.84</v>
      </c>
      <c r="F465">
        <v>3.76</v>
      </c>
      <c r="G465">
        <v>94.7</v>
      </c>
    </row>
    <row r="466" spans="1:7" ht="14" x14ac:dyDescent="0.3">
      <c r="A466" t="s">
        <v>486</v>
      </c>
      <c r="B466" t="s">
        <v>32</v>
      </c>
      <c r="C466">
        <v>32</v>
      </c>
      <c r="D466">
        <v>42</v>
      </c>
      <c r="E466">
        <v>7481.55</v>
      </c>
      <c r="F466">
        <v>4.33</v>
      </c>
      <c r="G466">
        <v>97.6</v>
      </c>
    </row>
    <row r="467" spans="1:7" ht="14" x14ac:dyDescent="0.3">
      <c r="A467" t="s">
        <v>487</v>
      </c>
      <c r="B467" t="s">
        <v>32</v>
      </c>
      <c r="C467">
        <v>10</v>
      </c>
      <c r="D467">
        <v>10</v>
      </c>
      <c r="E467">
        <v>7479.63</v>
      </c>
      <c r="F467">
        <v>4.5</v>
      </c>
      <c r="G467">
        <v>100</v>
      </c>
    </row>
    <row r="468" spans="1:7" ht="14" x14ac:dyDescent="0.3">
      <c r="A468" t="s">
        <v>488</v>
      </c>
      <c r="B468" t="s">
        <v>24</v>
      </c>
      <c r="C468">
        <v>21</v>
      </c>
      <c r="D468">
        <v>21</v>
      </c>
      <c r="E468">
        <v>7467.39</v>
      </c>
      <c r="F468">
        <v>4.57</v>
      </c>
      <c r="G468">
        <v>100</v>
      </c>
    </row>
    <row r="469" spans="1:7" ht="14" x14ac:dyDescent="0.3">
      <c r="A469" t="s">
        <v>489</v>
      </c>
      <c r="B469" t="s">
        <v>8</v>
      </c>
      <c r="C469">
        <v>41</v>
      </c>
      <c r="D469">
        <v>50</v>
      </c>
      <c r="E469">
        <v>7445.09</v>
      </c>
      <c r="F469">
        <v>4.26</v>
      </c>
      <c r="G469">
        <v>96</v>
      </c>
    </row>
    <row r="470" spans="1:7" ht="14" x14ac:dyDescent="0.3">
      <c r="A470" t="s">
        <v>490</v>
      </c>
      <c r="B470" t="s">
        <v>24</v>
      </c>
      <c r="C470">
        <v>62</v>
      </c>
      <c r="D470">
        <v>66</v>
      </c>
      <c r="E470">
        <v>7438.93</v>
      </c>
      <c r="F470">
        <v>4</v>
      </c>
      <c r="G470">
        <v>95.5</v>
      </c>
    </row>
    <row r="471" spans="1:7" ht="14" x14ac:dyDescent="0.3">
      <c r="A471" t="s">
        <v>491</v>
      </c>
      <c r="B471" t="s">
        <v>32</v>
      </c>
      <c r="C471">
        <v>27</v>
      </c>
      <c r="D471">
        <v>30</v>
      </c>
      <c r="E471">
        <v>7432.42</v>
      </c>
      <c r="F471">
        <v>4.03</v>
      </c>
      <c r="G471">
        <v>96.7</v>
      </c>
    </row>
    <row r="472" spans="1:7" ht="14" x14ac:dyDescent="0.3">
      <c r="A472" t="s">
        <v>492</v>
      </c>
      <c r="B472" t="s">
        <v>8</v>
      </c>
      <c r="C472">
        <v>6</v>
      </c>
      <c r="D472">
        <v>6</v>
      </c>
      <c r="E472">
        <v>7426.65</v>
      </c>
      <c r="F472">
        <v>3.17</v>
      </c>
      <c r="G472">
        <v>66.7</v>
      </c>
    </row>
    <row r="473" spans="1:7" ht="14" x14ac:dyDescent="0.3">
      <c r="A473" t="s">
        <v>493</v>
      </c>
      <c r="B473" t="s">
        <v>32</v>
      </c>
      <c r="C473">
        <v>91</v>
      </c>
      <c r="D473">
        <v>97</v>
      </c>
      <c r="E473">
        <v>7409.8</v>
      </c>
      <c r="F473">
        <v>4.28</v>
      </c>
      <c r="G473">
        <v>100</v>
      </c>
    </row>
    <row r="474" spans="1:7" ht="14" x14ac:dyDescent="0.3">
      <c r="A474" t="s">
        <v>494</v>
      </c>
      <c r="B474" t="s">
        <v>8</v>
      </c>
      <c r="C474">
        <v>51</v>
      </c>
      <c r="D474">
        <v>82</v>
      </c>
      <c r="E474">
        <v>7396.73</v>
      </c>
      <c r="F474">
        <v>3.35</v>
      </c>
      <c r="G474">
        <v>80.5</v>
      </c>
    </row>
    <row r="475" spans="1:7" ht="14" x14ac:dyDescent="0.3">
      <c r="A475" t="s">
        <v>495</v>
      </c>
      <c r="B475" t="s">
        <v>22</v>
      </c>
      <c r="C475">
        <v>3</v>
      </c>
      <c r="D475">
        <v>3</v>
      </c>
      <c r="E475">
        <v>7389.74</v>
      </c>
      <c r="F475">
        <v>4.67</v>
      </c>
      <c r="G475">
        <v>100</v>
      </c>
    </row>
    <row r="476" spans="1:7" ht="14" x14ac:dyDescent="0.3">
      <c r="A476" t="s">
        <v>496</v>
      </c>
      <c r="B476" t="s">
        <v>8</v>
      </c>
      <c r="C476">
        <v>80</v>
      </c>
      <c r="D476">
        <v>87</v>
      </c>
      <c r="E476">
        <v>7384.36</v>
      </c>
      <c r="F476">
        <v>3.57</v>
      </c>
      <c r="G476">
        <v>89.7</v>
      </c>
    </row>
    <row r="477" spans="1:7" ht="14" x14ac:dyDescent="0.3">
      <c r="A477" t="s">
        <v>497</v>
      </c>
      <c r="B477" t="s">
        <v>32</v>
      </c>
      <c r="C477">
        <v>47</v>
      </c>
      <c r="D477">
        <v>53</v>
      </c>
      <c r="E477">
        <v>7359.45</v>
      </c>
      <c r="F477">
        <v>3.99</v>
      </c>
      <c r="G477">
        <v>96.2</v>
      </c>
    </row>
    <row r="478" spans="1:7" ht="14" x14ac:dyDescent="0.3">
      <c r="A478" t="s">
        <v>498</v>
      </c>
      <c r="B478" t="s">
        <v>22</v>
      </c>
      <c r="C478">
        <v>12</v>
      </c>
      <c r="D478">
        <v>12</v>
      </c>
      <c r="E478">
        <v>7334.1</v>
      </c>
      <c r="F478">
        <v>4.33</v>
      </c>
      <c r="G478">
        <v>91.7</v>
      </c>
    </row>
    <row r="479" spans="1:7" ht="14" x14ac:dyDescent="0.3">
      <c r="A479" t="s">
        <v>499</v>
      </c>
      <c r="B479" t="s">
        <v>32</v>
      </c>
      <c r="C479">
        <v>7</v>
      </c>
      <c r="D479">
        <v>13</v>
      </c>
      <c r="E479">
        <v>7325.35</v>
      </c>
      <c r="F479">
        <v>4.8499999999999996</v>
      </c>
      <c r="G479">
        <v>84.6</v>
      </c>
    </row>
    <row r="480" spans="1:7" ht="14" x14ac:dyDescent="0.3">
      <c r="A480" t="s">
        <v>500</v>
      </c>
      <c r="B480" t="s">
        <v>8</v>
      </c>
      <c r="C480">
        <v>30</v>
      </c>
      <c r="D480">
        <v>31</v>
      </c>
      <c r="E480">
        <v>7323.25</v>
      </c>
      <c r="F480">
        <v>3.9</v>
      </c>
      <c r="G480">
        <v>100</v>
      </c>
    </row>
    <row r="481" spans="1:7" ht="14" x14ac:dyDescent="0.3">
      <c r="A481" t="s">
        <v>501</v>
      </c>
      <c r="B481" t="s">
        <v>22</v>
      </c>
      <c r="C481">
        <v>12</v>
      </c>
      <c r="D481">
        <v>12</v>
      </c>
      <c r="E481">
        <v>7321.78</v>
      </c>
      <c r="F481">
        <v>4.33</v>
      </c>
      <c r="G481">
        <v>100</v>
      </c>
    </row>
    <row r="482" spans="1:7" ht="14" x14ac:dyDescent="0.3">
      <c r="A482" t="s">
        <v>502</v>
      </c>
      <c r="B482" t="s">
        <v>8</v>
      </c>
      <c r="C482">
        <v>83</v>
      </c>
      <c r="D482">
        <v>84</v>
      </c>
      <c r="E482">
        <v>7309.37</v>
      </c>
      <c r="F482">
        <v>4.46</v>
      </c>
      <c r="G482">
        <v>88.1</v>
      </c>
    </row>
    <row r="483" spans="1:7" ht="14" x14ac:dyDescent="0.3">
      <c r="A483" t="s">
        <v>503</v>
      </c>
      <c r="B483" t="s">
        <v>8</v>
      </c>
      <c r="C483">
        <v>48</v>
      </c>
      <c r="D483">
        <v>48</v>
      </c>
      <c r="E483">
        <v>7302.33</v>
      </c>
      <c r="F483">
        <v>4.1100000000000003</v>
      </c>
      <c r="G483">
        <v>97.9</v>
      </c>
    </row>
    <row r="484" spans="1:7" ht="14" x14ac:dyDescent="0.3">
      <c r="A484" t="s">
        <v>504</v>
      </c>
      <c r="B484" t="s">
        <v>8</v>
      </c>
      <c r="C484">
        <v>7</v>
      </c>
      <c r="D484">
        <v>7</v>
      </c>
      <c r="E484">
        <v>7288.25</v>
      </c>
      <c r="F484">
        <v>3.86</v>
      </c>
      <c r="G484">
        <v>85.7</v>
      </c>
    </row>
    <row r="485" spans="1:7" ht="14" x14ac:dyDescent="0.3">
      <c r="A485" t="s">
        <v>505</v>
      </c>
      <c r="B485" t="s">
        <v>8</v>
      </c>
      <c r="C485">
        <v>36</v>
      </c>
      <c r="D485">
        <v>42</v>
      </c>
      <c r="E485">
        <v>7256.54</v>
      </c>
      <c r="F485">
        <v>4.46</v>
      </c>
      <c r="G485">
        <v>100</v>
      </c>
    </row>
    <row r="486" spans="1:7" ht="14" x14ac:dyDescent="0.3">
      <c r="A486" t="s">
        <v>506</v>
      </c>
      <c r="B486" t="s">
        <v>8</v>
      </c>
      <c r="C486">
        <v>26</v>
      </c>
      <c r="D486">
        <v>27</v>
      </c>
      <c r="E486">
        <v>7240.85</v>
      </c>
      <c r="F486">
        <v>4.59</v>
      </c>
      <c r="G486">
        <v>92.6</v>
      </c>
    </row>
    <row r="487" spans="1:7" ht="14" x14ac:dyDescent="0.3">
      <c r="A487" t="s">
        <v>507</v>
      </c>
      <c r="B487" t="s">
        <v>8</v>
      </c>
      <c r="C487">
        <v>22</v>
      </c>
      <c r="D487">
        <v>22</v>
      </c>
      <c r="E487">
        <v>7212.65</v>
      </c>
      <c r="F487">
        <v>4.41</v>
      </c>
      <c r="G487">
        <v>95.5</v>
      </c>
    </row>
    <row r="488" spans="1:7" ht="14" x14ac:dyDescent="0.3">
      <c r="A488" t="s">
        <v>508</v>
      </c>
      <c r="B488" t="s">
        <v>8</v>
      </c>
      <c r="C488">
        <v>44</v>
      </c>
      <c r="D488">
        <v>44</v>
      </c>
      <c r="E488">
        <v>7207.63</v>
      </c>
      <c r="F488">
        <v>4.5599999999999996</v>
      </c>
      <c r="G488">
        <v>93.2</v>
      </c>
    </row>
    <row r="489" spans="1:7" ht="14" x14ac:dyDescent="0.3">
      <c r="A489" t="s">
        <v>509</v>
      </c>
      <c r="B489" t="s">
        <v>42</v>
      </c>
      <c r="C489">
        <v>8</v>
      </c>
      <c r="D489">
        <v>8</v>
      </c>
      <c r="E489">
        <v>7186.89</v>
      </c>
      <c r="F489">
        <v>4.5</v>
      </c>
      <c r="G489">
        <v>100</v>
      </c>
    </row>
    <row r="490" spans="1:7" ht="14" x14ac:dyDescent="0.3">
      <c r="A490" t="s">
        <v>510</v>
      </c>
      <c r="B490" t="s">
        <v>8</v>
      </c>
      <c r="C490">
        <v>32</v>
      </c>
      <c r="D490">
        <v>34</v>
      </c>
      <c r="E490">
        <v>7180.28</v>
      </c>
      <c r="F490">
        <v>3.56</v>
      </c>
      <c r="G490">
        <v>97.1</v>
      </c>
    </row>
    <row r="491" spans="1:7" ht="14" x14ac:dyDescent="0.3">
      <c r="A491" t="s">
        <v>511</v>
      </c>
      <c r="B491" t="s">
        <v>101</v>
      </c>
      <c r="C491">
        <v>5</v>
      </c>
      <c r="D491">
        <v>5</v>
      </c>
      <c r="E491">
        <v>7168.41</v>
      </c>
      <c r="F491">
        <v>4.4000000000000004</v>
      </c>
      <c r="G491">
        <v>100</v>
      </c>
    </row>
    <row r="492" spans="1:7" ht="14" x14ac:dyDescent="0.3">
      <c r="A492" t="s">
        <v>512</v>
      </c>
      <c r="B492" t="s">
        <v>32</v>
      </c>
      <c r="C492">
        <v>15</v>
      </c>
      <c r="D492">
        <v>15</v>
      </c>
      <c r="E492">
        <v>7117.42</v>
      </c>
      <c r="F492">
        <v>4.8</v>
      </c>
      <c r="G492">
        <v>93.3</v>
      </c>
    </row>
    <row r="493" spans="1:7" ht="14" x14ac:dyDescent="0.3">
      <c r="A493" t="s">
        <v>513</v>
      </c>
      <c r="B493" t="s">
        <v>32</v>
      </c>
      <c r="C493">
        <v>23</v>
      </c>
      <c r="D493">
        <v>38</v>
      </c>
      <c r="E493">
        <v>7115.96</v>
      </c>
      <c r="F493">
        <v>4.08</v>
      </c>
      <c r="G493">
        <v>97.4</v>
      </c>
    </row>
    <row r="494" spans="1:7" ht="14" x14ac:dyDescent="0.3">
      <c r="A494" t="s">
        <v>514</v>
      </c>
      <c r="B494" t="s">
        <v>22</v>
      </c>
      <c r="C494">
        <v>158</v>
      </c>
      <c r="D494">
        <v>171</v>
      </c>
      <c r="E494">
        <v>7093.44</v>
      </c>
      <c r="F494">
        <v>4.18</v>
      </c>
      <c r="G494">
        <v>96.5</v>
      </c>
    </row>
    <row r="495" spans="1:7" ht="14" x14ac:dyDescent="0.3">
      <c r="A495" t="s">
        <v>515</v>
      </c>
      <c r="B495" t="s">
        <v>8</v>
      </c>
      <c r="C495">
        <v>80</v>
      </c>
      <c r="D495">
        <v>95</v>
      </c>
      <c r="E495">
        <v>7034.75</v>
      </c>
      <c r="F495">
        <v>4.01</v>
      </c>
      <c r="G495">
        <v>93.7</v>
      </c>
    </row>
    <row r="496" spans="1:7" ht="14" x14ac:dyDescent="0.3">
      <c r="A496" t="s">
        <v>516</v>
      </c>
      <c r="B496" t="s">
        <v>32</v>
      </c>
      <c r="C496">
        <v>18</v>
      </c>
      <c r="D496">
        <v>20</v>
      </c>
      <c r="E496">
        <v>7025.88</v>
      </c>
      <c r="F496">
        <v>4.28</v>
      </c>
      <c r="G496">
        <v>95</v>
      </c>
    </row>
    <row r="497" spans="1:7" ht="14" x14ac:dyDescent="0.3">
      <c r="A497" t="s">
        <v>517</v>
      </c>
      <c r="B497" t="s">
        <v>8</v>
      </c>
      <c r="C497">
        <v>1</v>
      </c>
      <c r="D497">
        <v>1</v>
      </c>
      <c r="E497">
        <v>6929.31</v>
      </c>
      <c r="F497">
        <v>5</v>
      </c>
      <c r="G497">
        <v>100</v>
      </c>
    </row>
    <row r="498" spans="1:7" ht="14" x14ac:dyDescent="0.3">
      <c r="A498" t="s">
        <v>518</v>
      </c>
      <c r="B498" t="s">
        <v>32</v>
      </c>
      <c r="C498">
        <v>1</v>
      </c>
      <c r="D498">
        <v>1</v>
      </c>
      <c r="E498">
        <v>6922.21</v>
      </c>
      <c r="F498" t="s">
        <v>519</v>
      </c>
      <c r="G498">
        <v>0</v>
      </c>
    </row>
    <row r="499" spans="1:7" ht="14" x14ac:dyDescent="0.3">
      <c r="A499" t="s">
        <v>520</v>
      </c>
      <c r="B499" t="s">
        <v>8</v>
      </c>
      <c r="C499">
        <v>130</v>
      </c>
      <c r="D499">
        <v>149</v>
      </c>
      <c r="E499">
        <v>6916.06</v>
      </c>
      <c r="F499">
        <v>3.91</v>
      </c>
      <c r="G499">
        <v>90.6</v>
      </c>
    </row>
    <row r="500" spans="1:7" ht="14" x14ac:dyDescent="0.3">
      <c r="A500" t="s">
        <v>521</v>
      </c>
      <c r="B500" t="s">
        <v>8</v>
      </c>
      <c r="C500">
        <v>30</v>
      </c>
      <c r="D500">
        <v>30</v>
      </c>
      <c r="E500">
        <v>6912.6</v>
      </c>
      <c r="F500">
        <v>4.3</v>
      </c>
      <c r="G500">
        <v>90</v>
      </c>
    </row>
    <row r="501" spans="1:7" ht="14" x14ac:dyDescent="0.3">
      <c r="A501" t="s">
        <v>522</v>
      </c>
      <c r="B501" t="s">
        <v>8</v>
      </c>
      <c r="C501">
        <v>41</v>
      </c>
      <c r="D501">
        <v>50</v>
      </c>
      <c r="E501">
        <v>6906.49</v>
      </c>
      <c r="F501">
        <v>3.9</v>
      </c>
      <c r="G501">
        <v>92</v>
      </c>
    </row>
    <row r="502" spans="1:7" ht="14" x14ac:dyDescent="0.3">
      <c r="A502" t="s">
        <v>523</v>
      </c>
      <c r="B502" t="s">
        <v>24</v>
      </c>
      <c r="C502">
        <v>50</v>
      </c>
      <c r="D502">
        <v>68</v>
      </c>
      <c r="E502">
        <v>6883.95</v>
      </c>
      <c r="F502">
        <v>3.99</v>
      </c>
      <c r="G502">
        <v>89.7</v>
      </c>
    </row>
    <row r="503" spans="1:7" ht="14" x14ac:dyDescent="0.3">
      <c r="A503" t="s">
        <v>524</v>
      </c>
      <c r="B503" t="s">
        <v>8</v>
      </c>
      <c r="C503">
        <v>101</v>
      </c>
      <c r="D503">
        <v>129</v>
      </c>
      <c r="E503">
        <v>6874.23</v>
      </c>
      <c r="F503">
        <v>3.35</v>
      </c>
      <c r="G503">
        <v>88.4</v>
      </c>
    </row>
    <row r="504" spans="1:7" ht="14" x14ac:dyDescent="0.3">
      <c r="A504" t="s">
        <v>525</v>
      </c>
      <c r="B504" t="s">
        <v>8</v>
      </c>
      <c r="C504">
        <v>39</v>
      </c>
      <c r="D504">
        <v>62</v>
      </c>
      <c r="E504">
        <v>6872.34</v>
      </c>
      <c r="F504">
        <v>3.71</v>
      </c>
      <c r="G504">
        <v>85.5</v>
      </c>
    </row>
    <row r="505" spans="1:7" ht="14" x14ac:dyDescent="0.3">
      <c r="A505" t="s">
        <v>526</v>
      </c>
      <c r="B505" t="s">
        <v>8</v>
      </c>
      <c r="C505">
        <v>60</v>
      </c>
      <c r="D505">
        <v>70</v>
      </c>
      <c r="E505">
        <v>6862.49</v>
      </c>
      <c r="F505">
        <v>4.37</v>
      </c>
      <c r="G505">
        <v>98.6</v>
      </c>
    </row>
    <row r="506" spans="1:7" ht="14" x14ac:dyDescent="0.3">
      <c r="A506" t="s">
        <v>527</v>
      </c>
      <c r="B506" t="s">
        <v>8</v>
      </c>
      <c r="C506">
        <v>38</v>
      </c>
      <c r="D506">
        <v>38</v>
      </c>
      <c r="E506">
        <v>6847.7</v>
      </c>
      <c r="F506">
        <v>4.32</v>
      </c>
      <c r="G506">
        <v>97.4</v>
      </c>
    </row>
    <row r="507" spans="1:7" ht="14" x14ac:dyDescent="0.3">
      <c r="A507" t="s">
        <v>528</v>
      </c>
      <c r="B507" t="s">
        <v>8</v>
      </c>
      <c r="C507">
        <v>33</v>
      </c>
      <c r="D507">
        <v>34</v>
      </c>
      <c r="E507">
        <v>6845.98</v>
      </c>
      <c r="F507">
        <v>4.12</v>
      </c>
      <c r="G507">
        <v>94.1</v>
      </c>
    </row>
    <row r="508" spans="1:7" ht="14" x14ac:dyDescent="0.3">
      <c r="A508" t="s">
        <v>529</v>
      </c>
      <c r="B508" t="s">
        <v>32</v>
      </c>
      <c r="C508">
        <v>2</v>
      </c>
      <c r="D508">
        <v>2</v>
      </c>
      <c r="E508">
        <v>6837.24</v>
      </c>
      <c r="F508">
        <v>3.5</v>
      </c>
      <c r="G508">
        <v>100</v>
      </c>
    </row>
    <row r="509" spans="1:7" ht="14" x14ac:dyDescent="0.3">
      <c r="A509" t="s">
        <v>530</v>
      </c>
      <c r="B509" t="s">
        <v>8</v>
      </c>
      <c r="C509">
        <v>61</v>
      </c>
      <c r="D509">
        <v>79</v>
      </c>
      <c r="E509">
        <v>6834.01</v>
      </c>
      <c r="F509">
        <v>4.57</v>
      </c>
      <c r="G509">
        <v>94.9</v>
      </c>
    </row>
    <row r="510" spans="1:7" ht="14" x14ac:dyDescent="0.3">
      <c r="A510" t="s">
        <v>531</v>
      </c>
      <c r="B510" t="s">
        <v>8</v>
      </c>
      <c r="C510">
        <v>28</v>
      </c>
      <c r="D510">
        <v>30</v>
      </c>
      <c r="E510">
        <v>6821.59</v>
      </c>
      <c r="F510">
        <v>4.24</v>
      </c>
      <c r="G510">
        <v>90</v>
      </c>
    </row>
    <row r="511" spans="1:7" ht="14" x14ac:dyDescent="0.3">
      <c r="A511" t="s">
        <v>532</v>
      </c>
      <c r="B511" t="s">
        <v>8</v>
      </c>
      <c r="C511">
        <v>9</v>
      </c>
      <c r="D511">
        <v>11</v>
      </c>
      <c r="E511">
        <v>6811.42</v>
      </c>
      <c r="F511">
        <v>4.6399999999999997</v>
      </c>
      <c r="G511">
        <v>90.9</v>
      </c>
    </row>
    <row r="512" spans="1:7" ht="14" x14ac:dyDescent="0.3">
      <c r="A512" t="s">
        <v>533</v>
      </c>
      <c r="B512" t="s">
        <v>8</v>
      </c>
      <c r="C512">
        <v>55</v>
      </c>
      <c r="D512">
        <v>101</v>
      </c>
      <c r="E512">
        <v>6749.47</v>
      </c>
      <c r="F512">
        <v>3.95</v>
      </c>
      <c r="G512">
        <v>90.1</v>
      </c>
    </row>
    <row r="513" spans="1:7" ht="14" x14ac:dyDescent="0.3">
      <c r="A513" t="s">
        <v>534</v>
      </c>
      <c r="B513" t="s">
        <v>8</v>
      </c>
      <c r="C513">
        <v>28</v>
      </c>
      <c r="D513">
        <v>28</v>
      </c>
      <c r="E513">
        <v>6728.88</v>
      </c>
      <c r="F513">
        <v>3.86</v>
      </c>
      <c r="G513">
        <v>89.3</v>
      </c>
    </row>
    <row r="514" spans="1:7" ht="14" x14ac:dyDescent="0.3">
      <c r="A514" t="s">
        <v>535</v>
      </c>
      <c r="B514" t="s">
        <v>309</v>
      </c>
      <c r="C514">
        <v>1</v>
      </c>
      <c r="D514">
        <v>1</v>
      </c>
      <c r="E514">
        <v>6726.66</v>
      </c>
      <c r="F514">
        <v>5</v>
      </c>
      <c r="G514">
        <v>100</v>
      </c>
    </row>
    <row r="515" spans="1:7" ht="14" x14ac:dyDescent="0.3">
      <c r="A515" t="s">
        <v>536</v>
      </c>
      <c r="B515" t="s">
        <v>24</v>
      </c>
      <c r="C515">
        <v>35</v>
      </c>
      <c r="D515">
        <v>40</v>
      </c>
      <c r="E515">
        <v>6708.34</v>
      </c>
      <c r="F515">
        <v>3.88</v>
      </c>
      <c r="G515">
        <v>100</v>
      </c>
    </row>
    <row r="516" spans="1:7" ht="14" x14ac:dyDescent="0.3">
      <c r="A516" t="s">
        <v>537</v>
      </c>
      <c r="B516" t="s">
        <v>8</v>
      </c>
      <c r="C516">
        <v>36</v>
      </c>
      <c r="D516">
        <v>37</v>
      </c>
      <c r="E516">
        <v>6632.75</v>
      </c>
      <c r="F516">
        <v>4.49</v>
      </c>
      <c r="G516">
        <v>91.9</v>
      </c>
    </row>
    <row r="517" spans="1:7" ht="14" x14ac:dyDescent="0.3">
      <c r="A517" t="s">
        <v>538</v>
      </c>
      <c r="B517" t="s">
        <v>32</v>
      </c>
      <c r="C517">
        <v>34</v>
      </c>
      <c r="D517">
        <v>36</v>
      </c>
      <c r="E517">
        <v>6590.46</v>
      </c>
      <c r="F517">
        <v>4.33</v>
      </c>
      <c r="G517">
        <v>91.7</v>
      </c>
    </row>
    <row r="518" spans="1:7" ht="14" x14ac:dyDescent="0.3">
      <c r="A518" t="s">
        <v>539</v>
      </c>
      <c r="B518" t="s">
        <v>42</v>
      </c>
      <c r="C518">
        <v>77</v>
      </c>
      <c r="D518">
        <v>86</v>
      </c>
      <c r="E518">
        <v>6544.21</v>
      </c>
      <c r="F518">
        <v>4.01</v>
      </c>
      <c r="G518">
        <v>98.8</v>
      </c>
    </row>
    <row r="519" spans="1:7" ht="14" x14ac:dyDescent="0.3">
      <c r="A519" t="s">
        <v>540</v>
      </c>
      <c r="B519" t="s">
        <v>8</v>
      </c>
      <c r="C519">
        <v>8</v>
      </c>
      <c r="D519">
        <v>8</v>
      </c>
      <c r="E519">
        <v>6527.82</v>
      </c>
      <c r="F519">
        <v>5</v>
      </c>
      <c r="G519">
        <v>100</v>
      </c>
    </row>
    <row r="520" spans="1:7" ht="14" x14ac:dyDescent="0.3">
      <c r="A520" t="s">
        <v>541</v>
      </c>
      <c r="B520" t="s">
        <v>8</v>
      </c>
      <c r="C520">
        <v>31</v>
      </c>
      <c r="D520">
        <v>32</v>
      </c>
      <c r="E520">
        <v>6521.34</v>
      </c>
      <c r="F520">
        <v>4.4400000000000004</v>
      </c>
      <c r="G520">
        <v>100</v>
      </c>
    </row>
    <row r="521" spans="1:7" ht="14" x14ac:dyDescent="0.3">
      <c r="A521" t="s">
        <v>542</v>
      </c>
      <c r="B521" t="s">
        <v>8</v>
      </c>
      <c r="C521">
        <v>5</v>
      </c>
      <c r="D521">
        <v>5</v>
      </c>
      <c r="E521">
        <v>6508.7</v>
      </c>
      <c r="F521">
        <v>2.4</v>
      </c>
      <c r="G521">
        <v>100</v>
      </c>
    </row>
    <row r="522" spans="1:7" ht="14" x14ac:dyDescent="0.3">
      <c r="A522" t="s">
        <v>543</v>
      </c>
      <c r="B522" t="s">
        <v>8</v>
      </c>
      <c r="C522">
        <v>89</v>
      </c>
      <c r="D522">
        <v>190</v>
      </c>
      <c r="E522">
        <v>6495.35</v>
      </c>
      <c r="F522">
        <v>3.89</v>
      </c>
      <c r="G522">
        <v>97.4</v>
      </c>
    </row>
    <row r="523" spans="1:7" ht="14" x14ac:dyDescent="0.3">
      <c r="A523" t="s">
        <v>544</v>
      </c>
      <c r="B523" t="s">
        <v>8</v>
      </c>
      <c r="C523">
        <v>85</v>
      </c>
      <c r="D523">
        <v>99</v>
      </c>
      <c r="E523">
        <v>6472.77</v>
      </c>
      <c r="F523">
        <v>4.45</v>
      </c>
      <c r="G523">
        <v>96</v>
      </c>
    </row>
    <row r="524" spans="1:7" ht="14" x14ac:dyDescent="0.3">
      <c r="A524" t="s">
        <v>545</v>
      </c>
      <c r="B524" t="s">
        <v>24</v>
      </c>
      <c r="C524">
        <v>51</v>
      </c>
      <c r="D524">
        <v>58</v>
      </c>
      <c r="E524">
        <v>6469.7</v>
      </c>
      <c r="F524">
        <v>4.21</v>
      </c>
      <c r="G524">
        <v>81</v>
      </c>
    </row>
    <row r="525" spans="1:7" ht="14" x14ac:dyDescent="0.3">
      <c r="A525" t="s">
        <v>546</v>
      </c>
      <c r="B525" t="s">
        <v>8</v>
      </c>
      <c r="C525">
        <v>6</v>
      </c>
      <c r="D525">
        <v>6</v>
      </c>
      <c r="E525">
        <v>6404.34</v>
      </c>
      <c r="F525">
        <v>4.83</v>
      </c>
      <c r="G525">
        <v>100</v>
      </c>
    </row>
    <row r="526" spans="1:7" ht="14" x14ac:dyDescent="0.3">
      <c r="A526" t="s">
        <v>547</v>
      </c>
      <c r="B526" t="s">
        <v>548</v>
      </c>
      <c r="C526">
        <v>14</v>
      </c>
      <c r="D526">
        <v>16</v>
      </c>
      <c r="E526">
        <v>6399.95</v>
      </c>
      <c r="F526">
        <v>2.69</v>
      </c>
      <c r="G526">
        <v>75</v>
      </c>
    </row>
    <row r="527" spans="1:7" ht="14" x14ac:dyDescent="0.3">
      <c r="A527" t="s">
        <v>549</v>
      </c>
      <c r="B527" t="s">
        <v>32</v>
      </c>
      <c r="C527">
        <v>6</v>
      </c>
      <c r="D527">
        <v>7</v>
      </c>
      <c r="E527">
        <v>6383.89</v>
      </c>
      <c r="F527">
        <v>3.29</v>
      </c>
      <c r="G527">
        <v>100</v>
      </c>
    </row>
    <row r="528" spans="1:7" ht="14" x14ac:dyDescent="0.3">
      <c r="A528" t="s">
        <v>550</v>
      </c>
      <c r="B528" t="s">
        <v>8</v>
      </c>
      <c r="C528">
        <v>60</v>
      </c>
      <c r="D528">
        <v>80</v>
      </c>
      <c r="E528">
        <v>6378.86</v>
      </c>
      <c r="F528">
        <v>4.53</v>
      </c>
      <c r="G528">
        <v>97.5</v>
      </c>
    </row>
    <row r="529" spans="1:7" ht="14" x14ac:dyDescent="0.3">
      <c r="A529" t="s">
        <v>551</v>
      </c>
      <c r="B529" t="s">
        <v>8</v>
      </c>
      <c r="C529">
        <v>62</v>
      </c>
      <c r="D529">
        <v>71</v>
      </c>
      <c r="E529">
        <v>6375.47</v>
      </c>
      <c r="F529">
        <v>3.83</v>
      </c>
      <c r="G529">
        <v>85.9</v>
      </c>
    </row>
    <row r="530" spans="1:7" ht="14" x14ac:dyDescent="0.3">
      <c r="A530" t="s">
        <v>552</v>
      </c>
      <c r="B530" t="s">
        <v>8</v>
      </c>
      <c r="C530">
        <v>74</v>
      </c>
      <c r="D530">
        <v>85</v>
      </c>
      <c r="E530">
        <v>6355.29</v>
      </c>
      <c r="F530">
        <v>3.94</v>
      </c>
      <c r="G530">
        <v>91.8</v>
      </c>
    </row>
    <row r="531" spans="1:7" ht="14" x14ac:dyDescent="0.3">
      <c r="A531" t="s">
        <v>553</v>
      </c>
      <c r="B531" t="s">
        <v>42</v>
      </c>
      <c r="C531">
        <v>9</v>
      </c>
      <c r="D531">
        <v>9</v>
      </c>
      <c r="E531">
        <v>6354.92</v>
      </c>
      <c r="F531">
        <v>4.78</v>
      </c>
      <c r="G531">
        <v>100</v>
      </c>
    </row>
    <row r="532" spans="1:7" ht="14" x14ac:dyDescent="0.3">
      <c r="A532" t="s">
        <v>554</v>
      </c>
      <c r="B532" t="s">
        <v>8</v>
      </c>
      <c r="C532">
        <v>11</v>
      </c>
      <c r="D532">
        <v>17</v>
      </c>
      <c r="E532">
        <v>6339.51</v>
      </c>
      <c r="F532">
        <v>3.53</v>
      </c>
      <c r="G532">
        <v>88.2</v>
      </c>
    </row>
    <row r="533" spans="1:7" ht="14" x14ac:dyDescent="0.3">
      <c r="A533" t="s">
        <v>555</v>
      </c>
      <c r="B533" t="s">
        <v>32</v>
      </c>
      <c r="C533">
        <v>18</v>
      </c>
      <c r="D533">
        <v>18</v>
      </c>
      <c r="E533">
        <v>6324.5</v>
      </c>
      <c r="F533">
        <v>4</v>
      </c>
      <c r="G533">
        <v>94.4</v>
      </c>
    </row>
    <row r="534" spans="1:7" ht="14" x14ac:dyDescent="0.3">
      <c r="A534" t="s">
        <v>556</v>
      </c>
      <c r="B534" t="s">
        <v>32</v>
      </c>
      <c r="C534">
        <v>15</v>
      </c>
      <c r="D534">
        <v>20</v>
      </c>
      <c r="E534">
        <v>6319.94</v>
      </c>
      <c r="F534">
        <v>4.3</v>
      </c>
      <c r="G534">
        <v>95</v>
      </c>
    </row>
    <row r="535" spans="1:7" ht="14" x14ac:dyDescent="0.3">
      <c r="A535" t="s">
        <v>557</v>
      </c>
      <c r="B535" t="s">
        <v>8</v>
      </c>
      <c r="C535">
        <v>29</v>
      </c>
      <c r="D535">
        <v>34</v>
      </c>
      <c r="E535">
        <v>6290.04</v>
      </c>
      <c r="F535">
        <v>4.03</v>
      </c>
      <c r="G535">
        <v>100</v>
      </c>
    </row>
    <row r="536" spans="1:7" ht="14" x14ac:dyDescent="0.3">
      <c r="A536" t="s">
        <v>558</v>
      </c>
      <c r="B536" t="s">
        <v>8</v>
      </c>
      <c r="C536">
        <v>172</v>
      </c>
      <c r="D536">
        <v>183</v>
      </c>
      <c r="E536">
        <v>6287.77</v>
      </c>
      <c r="F536">
        <v>3.97</v>
      </c>
      <c r="G536">
        <v>91.3</v>
      </c>
    </row>
    <row r="537" spans="1:7" ht="14" x14ac:dyDescent="0.3">
      <c r="A537" t="s">
        <v>559</v>
      </c>
      <c r="B537" t="s">
        <v>42</v>
      </c>
      <c r="C537">
        <v>40</v>
      </c>
      <c r="D537">
        <v>42</v>
      </c>
      <c r="E537">
        <v>6276.65</v>
      </c>
      <c r="F537">
        <v>4.3600000000000003</v>
      </c>
      <c r="G537">
        <v>95.2</v>
      </c>
    </row>
    <row r="538" spans="1:7" ht="14" x14ac:dyDescent="0.3">
      <c r="A538" t="s">
        <v>560</v>
      </c>
      <c r="B538" t="s">
        <v>24</v>
      </c>
      <c r="C538">
        <v>112</v>
      </c>
      <c r="D538">
        <v>117</v>
      </c>
      <c r="E538">
        <v>6273.28</v>
      </c>
      <c r="F538">
        <v>4.3899999999999997</v>
      </c>
      <c r="G538">
        <v>100</v>
      </c>
    </row>
    <row r="539" spans="1:7" ht="14" x14ac:dyDescent="0.3">
      <c r="A539" t="s">
        <v>561</v>
      </c>
      <c r="B539" t="s">
        <v>8</v>
      </c>
      <c r="C539">
        <v>69</v>
      </c>
      <c r="D539">
        <v>79</v>
      </c>
      <c r="E539">
        <v>6227.14</v>
      </c>
      <c r="F539">
        <v>3.69</v>
      </c>
      <c r="G539">
        <v>91.1</v>
      </c>
    </row>
    <row r="540" spans="1:7" ht="14" x14ac:dyDescent="0.3">
      <c r="A540" t="s">
        <v>562</v>
      </c>
      <c r="B540" t="s">
        <v>8</v>
      </c>
      <c r="C540">
        <v>41</v>
      </c>
      <c r="D540">
        <v>46</v>
      </c>
      <c r="E540">
        <v>6216.56</v>
      </c>
      <c r="F540">
        <v>4.3</v>
      </c>
      <c r="G540">
        <v>89.1</v>
      </c>
    </row>
    <row r="541" spans="1:7" ht="14" x14ac:dyDescent="0.3">
      <c r="A541" t="s">
        <v>563</v>
      </c>
      <c r="B541" t="s">
        <v>8</v>
      </c>
      <c r="C541">
        <v>89</v>
      </c>
      <c r="D541">
        <v>100</v>
      </c>
      <c r="E541">
        <v>6204.33</v>
      </c>
      <c r="F541">
        <v>4.3</v>
      </c>
      <c r="G541">
        <v>91</v>
      </c>
    </row>
    <row r="542" spans="1:7" ht="14" x14ac:dyDescent="0.3">
      <c r="A542" t="s">
        <v>564</v>
      </c>
      <c r="B542" t="s">
        <v>42</v>
      </c>
      <c r="C542">
        <v>31</v>
      </c>
      <c r="D542">
        <v>31</v>
      </c>
      <c r="E542">
        <v>6178.34</v>
      </c>
      <c r="F542">
        <v>4.16</v>
      </c>
      <c r="G542">
        <v>96.8</v>
      </c>
    </row>
    <row r="543" spans="1:7" ht="14" x14ac:dyDescent="0.3">
      <c r="A543" t="s">
        <v>565</v>
      </c>
      <c r="B543" t="s">
        <v>8</v>
      </c>
      <c r="C543">
        <v>27</v>
      </c>
      <c r="D543">
        <v>34</v>
      </c>
      <c r="E543">
        <v>6163.42</v>
      </c>
      <c r="F543">
        <v>4.12</v>
      </c>
      <c r="G543">
        <v>97.1</v>
      </c>
    </row>
    <row r="544" spans="1:7" ht="14" x14ac:dyDescent="0.3">
      <c r="A544" t="s">
        <v>566</v>
      </c>
      <c r="B544" t="s">
        <v>24</v>
      </c>
      <c r="C544">
        <v>45</v>
      </c>
      <c r="D544">
        <v>45</v>
      </c>
      <c r="E544">
        <v>6151.59</v>
      </c>
      <c r="F544">
        <v>4.2699999999999996</v>
      </c>
      <c r="G544">
        <v>95.6</v>
      </c>
    </row>
    <row r="545" spans="1:7" ht="14" x14ac:dyDescent="0.3">
      <c r="A545" t="s">
        <v>567</v>
      </c>
      <c r="B545" t="s">
        <v>8</v>
      </c>
      <c r="C545">
        <v>84</v>
      </c>
      <c r="D545">
        <v>95</v>
      </c>
      <c r="E545">
        <v>6137.88</v>
      </c>
      <c r="F545">
        <v>4.05</v>
      </c>
      <c r="G545">
        <v>97.9</v>
      </c>
    </row>
    <row r="546" spans="1:7" ht="14" x14ac:dyDescent="0.3">
      <c r="A546" t="s">
        <v>568</v>
      </c>
      <c r="B546" t="s">
        <v>8</v>
      </c>
      <c r="C546">
        <v>65</v>
      </c>
      <c r="D546">
        <v>73</v>
      </c>
      <c r="E546">
        <v>6124.92</v>
      </c>
      <c r="F546">
        <v>4.72</v>
      </c>
      <c r="G546">
        <v>100</v>
      </c>
    </row>
    <row r="547" spans="1:7" ht="14" x14ac:dyDescent="0.3">
      <c r="A547" t="s">
        <v>569</v>
      </c>
      <c r="B547" t="s">
        <v>368</v>
      </c>
      <c r="C547">
        <v>44</v>
      </c>
      <c r="D547">
        <v>51</v>
      </c>
      <c r="E547">
        <v>6121.84</v>
      </c>
      <c r="F547">
        <v>4.3099999999999996</v>
      </c>
      <c r="G547">
        <v>96.1</v>
      </c>
    </row>
    <row r="548" spans="1:7" ht="14" x14ac:dyDescent="0.3">
      <c r="A548" t="s">
        <v>570</v>
      </c>
      <c r="B548" t="s">
        <v>8</v>
      </c>
      <c r="C548">
        <v>43</v>
      </c>
      <c r="D548">
        <v>48</v>
      </c>
      <c r="E548">
        <v>6100.23</v>
      </c>
      <c r="F548">
        <v>3.79</v>
      </c>
      <c r="G548">
        <v>95.8</v>
      </c>
    </row>
    <row r="549" spans="1:7" ht="14" x14ac:dyDescent="0.3">
      <c r="A549" t="s">
        <v>571</v>
      </c>
      <c r="B549" t="s">
        <v>8</v>
      </c>
      <c r="C549">
        <v>45</v>
      </c>
      <c r="D549">
        <v>54</v>
      </c>
      <c r="E549">
        <v>6077.34</v>
      </c>
      <c r="F549">
        <v>4.3</v>
      </c>
      <c r="G549">
        <v>98.1</v>
      </c>
    </row>
    <row r="550" spans="1:7" ht="14" x14ac:dyDescent="0.3">
      <c r="A550" t="s">
        <v>572</v>
      </c>
      <c r="B550" t="s">
        <v>8</v>
      </c>
      <c r="C550">
        <v>91</v>
      </c>
      <c r="D550">
        <v>93</v>
      </c>
      <c r="E550">
        <v>6068.37</v>
      </c>
      <c r="F550">
        <v>4.16</v>
      </c>
      <c r="G550">
        <v>93.5</v>
      </c>
    </row>
    <row r="551" spans="1:7" ht="14" x14ac:dyDescent="0.3">
      <c r="A551" t="s">
        <v>573</v>
      </c>
      <c r="B551" t="s">
        <v>32</v>
      </c>
      <c r="C551">
        <v>27</v>
      </c>
      <c r="D551">
        <v>30</v>
      </c>
      <c r="E551">
        <v>6060.59</v>
      </c>
      <c r="F551">
        <v>4.67</v>
      </c>
      <c r="G551">
        <v>100</v>
      </c>
    </row>
    <row r="552" spans="1:7" ht="14" x14ac:dyDescent="0.3">
      <c r="A552" t="s">
        <v>574</v>
      </c>
      <c r="B552" t="s">
        <v>8</v>
      </c>
      <c r="C552">
        <v>82</v>
      </c>
      <c r="D552">
        <v>95</v>
      </c>
      <c r="E552">
        <v>6048.12</v>
      </c>
      <c r="F552">
        <v>4.34</v>
      </c>
      <c r="G552">
        <v>97.9</v>
      </c>
    </row>
    <row r="553" spans="1:7" ht="14" x14ac:dyDescent="0.3">
      <c r="A553" t="s">
        <v>575</v>
      </c>
      <c r="B553" t="s">
        <v>8</v>
      </c>
      <c r="C553">
        <v>54</v>
      </c>
      <c r="D553">
        <v>61</v>
      </c>
      <c r="E553">
        <v>6047.91</v>
      </c>
      <c r="F553">
        <v>4.13</v>
      </c>
      <c r="G553">
        <v>93.4</v>
      </c>
    </row>
    <row r="554" spans="1:7" ht="14" x14ac:dyDescent="0.3">
      <c r="A554" t="s">
        <v>576</v>
      </c>
      <c r="B554" t="s">
        <v>8</v>
      </c>
      <c r="C554">
        <v>28</v>
      </c>
      <c r="D554">
        <v>44</v>
      </c>
      <c r="E554">
        <v>6044.83</v>
      </c>
      <c r="F554">
        <v>4.1500000000000004</v>
      </c>
      <c r="G554">
        <v>97.7</v>
      </c>
    </row>
    <row r="555" spans="1:7" ht="14" x14ac:dyDescent="0.3">
      <c r="A555" t="s">
        <v>577</v>
      </c>
      <c r="B555" t="s">
        <v>32</v>
      </c>
      <c r="C555">
        <v>31</v>
      </c>
      <c r="D555">
        <v>32</v>
      </c>
      <c r="E555">
        <v>6030.17</v>
      </c>
      <c r="F555">
        <v>4.4400000000000004</v>
      </c>
      <c r="G555">
        <v>100</v>
      </c>
    </row>
    <row r="556" spans="1:7" ht="14" x14ac:dyDescent="0.3">
      <c r="A556" t="s">
        <v>578</v>
      </c>
      <c r="B556" t="s">
        <v>8</v>
      </c>
      <c r="C556">
        <v>79</v>
      </c>
      <c r="D556">
        <v>83</v>
      </c>
      <c r="E556">
        <v>6023.93</v>
      </c>
      <c r="F556">
        <v>4.57</v>
      </c>
      <c r="G556">
        <v>94</v>
      </c>
    </row>
    <row r="557" spans="1:7" ht="14" x14ac:dyDescent="0.3">
      <c r="A557" t="s">
        <v>579</v>
      </c>
      <c r="B557" t="s">
        <v>8</v>
      </c>
      <c r="C557">
        <v>35</v>
      </c>
      <c r="D557">
        <v>38</v>
      </c>
      <c r="E557">
        <v>6023.77</v>
      </c>
      <c r="F557">
        <v>4.05</v>
      </c>
      <c r="G557">
        <v>94.7</v>
      </c>
    </row>
    <row r="558" spans="1:7" ht="14" x14ac:dyDescent="0.3">
      <c r="A558" t="s">
        <v>580</v>
      </c>
      <c r="B558" t="s">
        <v>8</v>
      </c>
      <c r="C558">
        <v>61</v>
      </c>
      <c r="D558">
        <v>70</v>
      </c>
      <c r="E558">
        <v>6007.97</v>
      </c>
      <c r="F558">
        <v>3.84</v>
      </c>
      <c r="G558">
        <v>90</v>
      </c>
    </row>
    <row r="559" spans="1:7" ht="14" x14ac:dyDescent="0.3">
      <c r="A559" t="s">
        <v>581</v>
      </c>
      <c r="B559" t="s">
        <v>22</v>
      </c>
      <c r="C559">
        <v>6</v>
      </c>
      <c r="D559">
        <v>6</v>
      </c>
      <c r="E559">
        <v>5925.99</v>
      </c>
      <c r="F559">
        <v>5</v>
      </c>
      <c r="G559">
        <v>100</v>
      </c>
    </row>
    <row r="560" spans="1:7" ht="14" x14ac:dyDescent="0.3">
      <c r="A560" t="s">
        <v>582</v>
      </c>
      <c r="B560" t="s">
        <v>24</v>
      </c>
      <c r="C560">
        <v>44</v>
      </c>
      <c r="D560">
        <v>44</v>
      </c>
      <c r="E560">
        <v>5923.66</v>
      </c>
      <c r="F560">
        <v>4.4800000000000004</v>
      </c>
      <c r="G560">
        <v>100</v>
      </c>
    </row>
    <row r="561" spans="1:7" ht="14" x14ac:dyDescent="0.3">
      <c r="A561" t="s">
        <v>583</v>
      </c>
      <c r="B561" t="s">
        <v>8</v>
      </c>
      <c r="C561">
        <v>42</v>
      </c>
      <c r="D561">
        <v>48</v>
      </c>
      <c r="E561">
        <v>5922.25</v>
      </c>
      <c r="F561">
        <v>3.31</v>
      </c>
      <c r="G561">
        <v>72.900000000000006</v>
      </c>
    </row>
    <row r="562" spans="1:7" ht="14" x14ac:dyDescent="0.3">
      <c r="A562" t="s">
        <v>584</v>
      </c>
      <c r="B562" t="s">
        <v>8</v>
      </c>
      <c r="C562">
        <v>37</v>
      </c>
      <c r="D562">
        <v>38</v>
      </c>
      <c r="E562">
        <v>5915.27</v>
      </c>
      <c r="F562">
        <v>4.05</v>
      </c>
      <c r="G562">
        <v>89.5</v>
      </c>
    </row>
    <row r="563" spans="1:7" ht="14" x14ac:dyDescent="0.3">
      <c r="A563" t="s">
        <v>585</v>
      </c>
      <c r="B563" t="s">
        <v>8</v>
      </c>
      <c r="C563">
        <v>29</v>
      </c>
      <c r="D563">
        <v>31</v>
      </c>
      <c r="E563">
        <v>5901.41</v>
      </c>
      <c r="F563">
        <v>4.0199999999999996</v>
      </c>
      <c r="G563">
        <v>93.5</v>
      </c>
    </row>
    <row r="564" spans="1:7" ht="14" x14ac:dyDescent="0.3">
      <c r="A564" t="s">
        <v>586</v>
      </c>
      <c r="B564" t="s">
        <v>8</v>
      </c>
      <c r="C564">
        <v>34</v>
      </c>
      <c r="D564">
        <v>36</v>
      </c>
      <c r="E564">
        <v>5839.14</v>
      </c>
      <c r="F564">
        <v>3.51</v>
      </c>
      <c r="G564">
        <v>94.4</v>
      </c>
    </row>
    <row r="565" spans="1:7" ht="14" x14ac:dyDescent="0.3">
      <c r="A565" t="s">
        <v>587</v>
      </c>
      <c r="B565" t="s">
        <v>24</v>
      </c>
      <c r="C565">
        <v>37</v>
      </c>
      <c r="D565">
        <v>39</v>
      </c>
      <c r="E565">
        <v>5837.68</v>
      </c>
      <c r="F565">
        <v>4</v>
      </c>
      <c r="G565">
        <v>89.7</v>
      </c>
    </row>
    <row r="566" spans="1:7" ht="14" x14ac:dyDescent="0.3">
      <c r="A566" t="s">
        <v>588</v>
      </c>
      <c r="B566" t="s">
        <v>22</v>
      </c>
      <c r="C566">
        <v>48</v>
      </c>
      <c r="D566">
        <v>52</v>
      </c>
      <c r="E566">
        <v>5826.85</v>
      </c>
      <c r="F566">
        <v>4.12</v>
      </c>
      <c r="G566">
        <v>86.5</v>
      </c>
    </row>
    <row r="567" spans="1:7" ht="14" x14ac:dyDescent="0.3">
      <c r="A567" t="s">
        <v>589</v>
      </c>
      <c r="B567" t="s">
        <v>8</v>
      </c>
      <c r="C567">
        <v>71</v>
      </c>
      <c r="D567">
        <v>87</v>
      </c>
      <c r="E567">
        <v>5815.36</v>
      </c>
      <c r="F567">
        <v>4.25</v>
      </c>
      <c r="G567">
        <v>96.6</v>
      </c>
    </row>
    <row r="568" spans="1:7" ht="14" x14ac:dyDescent="0.3">
      <c r="A568" t="s">
        <v>590</v>
      </c>
      <c r="B568" t="s">
        <v>32</v>
      </c>
      <c r="C568">
        <v>22</v>
      </c>
      <c r="D568">
        <v>27</v>
      </c>
      <c r="E568">
        <v>5814.27</v>
      </c>
      <c r="F568">
        <v>4.37</v>
      </c>
      <c r="G568">
        <v>100</v>
      </c>
    </row>
    <row r="569" spans="1:7" ht="14" x14ac:dyDescent="0.3">
      <c r="A569" t="s">
        <v>591</v>
      </c>
      <c r="B569" t="s">
        <v>8</v>
      </c>
      <c r="C569">
        <v>85</v>
      </c>
      <c r="D569">
        <v>95</v>
      </c>
      <c r="E569">
        <v>5807.03</v>
      </c>
      <c r="F569">
        <v>4.34</v>
      </c>
      <c r="G569">
        <v>85.3</v>
      </c>
    </row>
    <row r="570" spans="1:7" ht="14" x14ac:dyDescent="0.3">
      <c r="A570" t="s">
        <v>592</v>
      </c>
      <c r="B570" t="s">
        <v>8</v>
      </c>
      <c r="C570">
        <v>139</v>
      </c>
      <c r="D570">
        <v>158</v>
      </c>
      <c r="E570">
        <v>5799.21</v>
      </c>
      <c r="F570">
        <v>3.73</v>
      </c>
      <c r="G570">
        <v>94.3</v>
      </c>
    </row>
    <row r="571" spans="1:7" ht="14" x14ac:dyDescent="0.3">
      <c r="A571" t="s">
        <v>593</v>
      </c>
      <c r="B571" t="s">
        <v>8</v>
      </c>
      <c r="C571">
        <v>35</v>
      </c>
      <c r="D571">
        <v>37</v>
      </c>
      <c r="E571">
        <v>5797.25</v>
      </c>
      <c r="F571">
        <v>3.89</v>
      </c>
      <c r="G571">
        <v>94.6</v>
      </c>
    </row>
    <row r="572" spans="1:7" ht="14" x14ac:dyDescent="0.3">
      <c r="A572" t="s">
        <v>594</v>
      </c>
      <c r="B572" t="s">
        <v>24</v>
      </c>
      <c r="C572">
        <v>15</v>
      </c>
      <c r="D572">
        <v>20</v>
      </c>
      <c r="E572">
        <v>5796.29</v>
      </c>
      <c r="F572">
        <v>3.65</v>
      </c>
      <c r="G572">
        <v>100</v>
      </c>
    </row>
    <row r="573" spans="1:7" ht="14" x14ac:dyDescent="0.3">
      <c r="A573" t="s">
        <v>595</v>
      </c>
      <c r="B573" t="s">
        <v>8</v>
      </c>
      <c r="C573">
        <v>21</v>
      </c>
      <c r="D573">
        <v>28</v>
      </c>
      <c r="E573">
        <v>5790.48</v>
      </c>
      <c r="F573">
        <v>3.93</v>
      </c>
      <c r="G573">
        <v>100</v>
      </c>
    </row>
    <row r="574" spans="1:7" ht="14" x14ac:dyDescent="0.3">
      <c r="A574" t="s">
        <v>596</v>
      </c>
      <c r="B574" t="s">
        <v>8</v>
      </c>
      <c r="C574">
        <v>2</v>
      </c>
      <c r="D574">
        <v>2</v>
      </c>
      <c r="E574">
        <v>5766.59</v>
      </c>
      <c r="F574">
        <v>4</v>
      </c>
      <c r="G574">
        <v>100</v>
      </c>
    </row>
    <row r="575" spans="1:7" ht="14" x14ac:dyDescent="0.3">
      <c r="A575" t="s">
        <v>597</v>
      </c>
      <c r="B575" t="s">
        <v>8</v>
      </c>
      <c r="C575">
        <v>4</v>
      </c>
      <c r="D575">
        <v>4</v>
      </c>
      <c r="E575">
        <v>5760.96</v>
      </c>
      <c r="F575">
        <v>4.33</v>
      </c>
      <c r="G575">
        <v>100</v>
      </c>
    </row>
    <row r="576" spans="1:7" ht="14" x14ac:dyDescent="0.3">
      <c r="A576" t="s">
        <v>598</v>
      </c>
      <c r="B576" t="s">
        <v>8</v>
      </c>
      <c r="C576">
        <v>21</v>
      </c>
      <c r="D576">
        <v>24</v>
      </c>
      <c r="E576">
        <v>5742.4</v>
      </c>
      <c r="F576">
        <v>4.54</v>
      </c>
      <c r="G576">
        <v>100</v>
      </c>
    </row>
    <row r="577" spans="1:7" ht="14" x14ac:dyDescent="0.3">
      <c r="A577" t="s">
        <v>599</v>
      </c>
      <c r="B577" t="s">
        <v>8</v>
      </c>
      <c r="C577">
        <v>68</v>
      </c>
      <c r="D577">
        <v>84</v>
      </c>
      <c r="E577">
        <v>5741.24</v>
      </c>
      <c r="F577">
        <v>3.05</v>
      </c>
      <c r="G577">
        <v>77.400000000000006</v>
      </c>
    </row>
    <row r="578" spans="1:7" ht="14" x14ac:dyDescent="0.3">
      <c r="A578" t="s">
        <v>600</v>
      </c>
      <c r="B578" t="s">
        <v>24</v>
      </c>
      <c r="C578">
        <v>44</v>
      </c>
      <c r="D578">
        <v>49</v>
      </c>
      <c r="E578">
        <v>5733.24</v>
      </c>
      <c r="F578">
        <v>4.18</v>
      </c>
      <c r="G578">
        <v>95.9</v>
      </c>
    </row>
    <row r="579" spans="1:7" ht="14" x14ac:dyDescent="0.3">
      <c r="A579" t="s">
        <v>601</v>
      </c>
      <c r="B579" t="s">
        <v>8</v>
      </c>
      <c r="C579">
        <v>16</v>
      </c>
      <c r="D579">
        <v>19</v>
      </c>
      <c r="E579">
        <v>5705.93</v>
      </c>
      <c r="F579">
        <v>3.05</v>
      </c>
      <c r="G579">
        <v>84.2</v>
      </c>
    </row>
    <row r="580" spans="1:7" ht="14" x14ac:dyDescent="0.3">
      <c r="A580" t="s">
        <v>602</v>
      </c>
      <c r="B580" t="s">
        <v>8</v>
      </c>
      <c r="C580">
        <v>20</v>
      </c>
      <c r="D580">
        <v>30</v>
      </c>
      <c r="E580">
        <v>5701.45</v>
      </c>
      <c r="F580">
        <v>3.57</v>
      </c>
      <c r="G580">
        <v>90</v>
      </c>
    </row>
    <row r="581" spans="1:7" ht="14" x14ac:dyDescent="0.3">
      <c r="A581" t="s">
        <v>603</v>
      </c>
      <c r="B581" t="s">
        <v>8</v>
      </c>
      <c r="C581">
        <v>87</v>
      </c>
      <c r="D581">
        <v>94</v>
      </c>
      <c r="E581">
        <v>5698.7</v>
      </c>
      <c r="F581">
        <v>4.55</v>
      </c>
      <c r="G581">
        <v>96.8</v>
      </c>
    </row>
    <row r="582" spans="1:7" ht="14" x14ac:dyDescent="0.3">
      <c r="A582" t="s">
        <v>604</v>
      </c>
      <c r="B582" t="s">
        <v>22</v>
      </c>
      <c r="C582">
        <v>21</v>
      </c>
      <c r="D582">
        <v>23</v>
      </c>
      <c r="E582">
        <v>5694.2</v>
      </c>
      <c r="F582">
        <v>4.7</v>
      </c>
      <c r="G582">
        <v>100</v>
      </c>
    </row>
    <row r="583" spans="1:7" ht="14" x14ac:dyDescent="0.3">
      <c r="A583" t="s">
        <v>605</v>
      </c>
      <c r="B583" t="s">
        <v>32</v>
      </c>
      <c r="C583">
        <v>41</v>
      </c>
      <c r="D583">
        <v>43</v>
      </c>
      <c r="E583">
        <v>5689.2</v>
      </c>
      <c r="F583">
        <v>4.26</v>
      </c>
      <c r="G583">
        <v>97.7</v>
      </c>
    </row>
    <row r="584" spans="1:7" ht="14" x14ac:dyDescent="0.3">
      <c r="A584" t="s">
        <v>606</v>
      </c>
      <c r="B584" t="s">
        <v>42</v>
      </c>
      <c r="C584">
        <v>18</v>
      </c>
      <c r="D584">
        <v>18</v>
      </c>
      <c r="E584">
        <v>5687.34</v>
      </c>
      <c r="F584">
        <v>4.1100000000000003</v>
      </c>
      <c r="G584">
        <v>72.2</v>
      </c>
    </row>
    <row r="585" spans="1:7" ht="14" x14ac:dyDescent="0.3">
      <c r="A585" t="s">
        <v>607</v>
      </c>
      <c r="B585" t="s">
        <v>8</v>
      </c>
      <c r="C585">
        <v>59</v>
      </c>
      <c r="D585">
        <v>71</v>
      </c>
      <c r="E585">
        <v>5683.93</v>
      </c>
      <c r="F585">
        <v>4.1100000000000003</v>
      </c>
      <c r="G585">
        <v>98.6</v>
      </c>
    </row>
    <row r="586" spans="1:7" ht="14" x14ac:dyDescent="0.3">
      <c r="A586" t="s">
        <v>608</v>
      </c>
      <c r="B586" t="s">
        <v>8</v>
      </c>
      <c r="C586">
        <v>16</v>
      </c>
      <c r="D586">
        <v>27</v>
      </c>
      <c r="E586">
        <v>5665.74</v>
      </c>
      <c r="F586">
        <v>3.26</v>
      </c>
      <c r="G586">
        <v>92.6</v>
      </c>
    </row>
    <row r="587" spans="1:7" ht="14" x14ac:dyDescent="0.3">
      <c r="A587" t="s">
        <v>609</v>
      </c>
      <c r="B587" t="s">
        <v>8</v>
      </c>
      <c r="C587">
        <v>74</v>
      </c>
      <c r="D587">
        <v>82</v>
      </c>
      <c r="E587">
        <v>5658.7</v>
      </c>
      <c r="F587">
        <v>3.56</v>
      </c>
      <c r="G587">
        <v>81.7</v>
      </c>
    </row>
    <row r="588" spans="1:7" ht="14" x14ac:dyDescent="0.3">
      <c r="A588" t="s">
        <v>610</v>
      </c>
      <c r="B588" t="s">
        <v>32</v>
      </c>
      <c r="C588">
        <v>9</v>
      </c>
      <c r="D588">
        <v>10</v>
      </c>
      <c r="E588">
        <v>5654.8</v>
      </c>
      <c r="F588">
        <v>3.9</v>
      </c>
      <c r="G588">
        <v>100</v>
      </c>
    </row>
    <row r="589" spans="1:7" ht="14" x14ac:dyDescent="0.3">
      <c r="A589" t="s">
        <v>611</v>
      </c>
      <c r="B589" t="s">
        <v>8</v>
      </c>
      <c r="C589">
        <v>25</v>
      </c>
      <c r="D589">
        <v>26</v>
      </c>
      <c r="E589">
        <v>5641.93</v>
      </c>
      <c r="F589">
        <v>4.58</v>
      </c>
      <c r="G589">
        <v>96.2</v>
      </c>
    </row>
    <row r="590" spans="1:7" ht="14" x14ac:dyDescent="0.3">
      <c r="A590" t="s">
        <v>612</v>
      </c>
      <c r="B590" t="s">
        <v>22</v>
      </c>
      <c r="C590">
        <v>32</v>
      </c>
      <c r="D590">
        <v>32</v>
      </c>
      <c r="E590">
        <v>5636.88</v>
      </c>
      <c r="F590">
        <v>4.28</v>
      </c>
      <c r="G590">
        <v>100</v>
      </c>
    </row>
    <row r="591" spans="1:7" ht="14" x14ac:dyDescent="0.3">
      <c r="A591" t="s">
        <v>613</v>
      </c>
      <c r="B591" t="s">
        <v>8</v>
      </c>
      <c r="C591">
        <v>52</v>
      </c>
      <c r="D591">
        <v>54</v>
      </c>
      <c r="E591">
        <v>5629.62</v>
      </c>
      <c r="F591">
        <v>4.09</v>
      </c>
      <c r="G591">
        <v>94.4</v>
      </c>
    </row>
    <row r="592" spans="1:7" ht="14" x14ac:dyDescent="0.3">
      <c r="A592" t="s">
        <v>614</v>
      </c>
      <c r="B592" t="s">
        <v>24</v>
      </c>
      <c r="C592">
        <v>42</v>
      </c>
      <c r="D592">
        <v>46</v>
      </c>
      <c r="E592">
        <v>5618.4</v>
      </c>
      <c r="F592">
        <v>4.16</v>
      </c>
      <c r="G592">
        <v>93.5</v>
      </c>
    </row>
    <row r="593" spans="1:7" ht="14" x14ac:dyDescent="0.3">
      <c r="A593" t="s">
        <v>615</v>
      </c>
      <c r="B593" t="s">
        <v>8</v>
      </c>
      <c r="C593">
        <v>76</v>
      </c>
      <c r="D593">
        <v>102</v>
      </c>
      <c r="E593">
        <v>5608.54</v>
      </c>
      <c r="F593">
        <v>3.78</v>
      </c>
      <c r="G593">
        <v>84.3</v>
      </c>
    </row>
    <row r="594" spans="1:7" ht="14" x14ac:dyDescent="0.3">
      <c r="A594" t="s">
        <v>616</v>
      </c>
      <c r="B594" t="s">
        <v>32</v>
      </c>
      <c r="C594">
        <v>24</v>
      </c>
      <c r="D594">
        <v>26</v>
      </c>
      <c r="E594">
        <v>5577.74</v>
      </c>
      <c r="F594">
        <v>4.38</v>
      </c>
      <c r="G594">
        <v>96.2</v>
      </c>
    </row>
    <row r="595" spans="1:7" ht="14" x14ac:dyDescent="0.3">
      <c r="A595" t="s">
        <v>617</v>
      </c>
      <c r="B595" t="s">
        <v>24</v>
      </c>
      <c r="C595">
        <v>33</v>
      </c>
      <c r="D595">
        <v>38</v>
      </c>
      <c r="E595">
        <v>5573.35</v>
      </c>
      <c r="F595">
        <v>4.47</v>
      </c>
      <c r="G595">
        <v>97.4</v>
      </c>
    </row>
    <row r="596" spans="1:7" ht="14" x14ac:dyDescent="0.3">
      <c r="A596" t="s">
        <v>618</v>
      </c>
      <c r="B596" t="s">
        <v>42</v>
      </c>
      <c r="C596">
        <v>43</v>
      </c>
      <c r="D596">
        <v>44</v>
      </c>
      <c r="E596">
        <v>5557.24</v>
      </c>
      <c r="F596">
        <v>3.66</v>
      </c>
      <c r="G596">
        <v>79.5</v>
      </c>
    </row>
    <row r="597" spans="1:7" ht="14" x14ac:dyDescent="0.3">
      <c r="A597" t="s">
        <v>619</v>
      </c>
      <c r="B597" t="s">
        <v>32</v>
      </c>
      <c r="C597">
        <v>26</v>
      </c>
      <c r="D597">
        <v>28</v>
      </c>
      <c r="E597">
        <v>5542.53</v>
      </c>
      <c r="F597">
        <v>3.54</v>
      </c>
      <c r="G597">
        <v>85.7</v>
      </c>
    </row>
    <row r="598" spans="1:7" ht="14" x14ac:dyDescent="0.3">
      <c r="A598" t="s">
        <v>620</v>
      </c>
      <c r="B598" t="s">
        <v>22</v>
      </c>
      <c r="C598">
        <v>69</v>
      </c>
      <c r="D598">
        <v>108</v>
      </c>
      <c r="E598">
        <v>5535.95</v>
      </c>
      <c r="F598">
        <v>3.92</v>
      </c>
      <c r="G598">
        <v>99.1</v>
      </c>
    </row>
    <row r="599" spans="1:7" ht="14" x14ac:dyDescent="0.3">
      <c r="A599" t="s">
        <v>621</v>
      </c>
      <c r="B599" t="s">
        <v>42</v>
      </c>
      <c r="C599">
        <v>6</v>
      </c>
      <c r="D599">
        <v>8</v>
      </c>
      <c r="E599">
        <v>5502.84</v>
      </c>
      <c r="F599">
        <v>3.75</v>
      </c>
      <c r="G599">
        <v>87.5</v>
      </c>
    </row>
    <row r="600" spans="1:7" ht="14" x14ac:dyDescent="0.3">
      <c r="A600" t="s">
        <v>622</v>
      </c>
      <c r="B600" t="s">
        <v>8</v>
      </c>
      <c r="C600">
        <v>29</v>
      </c>
      <c r="D600">
        <v>30</v>
      </c>
      <c r="E600">
        <v>5501.01</v>
      </c>
      <c r="F600">
        <v>4.17</v>
      </c>
      <c r="G600">
        <v>100</v>
      </c>
    </row>
    <row r="601" spans="1:7" ht="14" x14ac:dyDescent="0.3">
      <c r="A601" t="s">
        <v>623</v>
      </c>
      <c r="B601" t="s">
        <v>24</v>
      </c>
      <c r="C601">
        <v>28</v>
      </c>
      <c r="D601">
        <v>29</v>
      </c>
      <c r="E601">
        <v>5499.8</v>
      </c>
      <c r="F601">
        <v>3.93</v>
      </c>
      <c r="G601">
        <v>96.6</v>
      </c>
    </row>
    <row r="602" spans="1:7" ht="14" x14ac:dyDescent="0.3">
      <c r="A602" t="s">
        <v>624</v>
      </c>
      <c r="B602" t="s">
        <v>8</v>
      </c>
      <c r="C602">
        <v>79</v>
      </c>
      <c r="D602">
        <v>84</v>
      </c>
      <c r="E602">
        <v>5499.56</v>
      </c>
      <c r="F602">
        <v>3.96</v>
      </c>
      <c r="G602">
        <v>92.9</v>
      </c>
    </row>
    <row r="603" spans="1:7" ht="14" x14ac:dyDescent="0.3">
      <c r="A603" t="s">
        <v>625</v>
      </c>
      <c r="B603" t="s">
        <v>8</v>
      </c>
      <c r="C603">
        <v>10</v>
      </c>
      <c r="D603">
        <v>10</v>
      </c>
      <c r="E603">
        <v>5481.98</v>
      </c>
      <c r="F603">
        <v>4.4000000000000004</v>
      </c>
      <c r="G603">
        <v>100</v>
      </c>
    </row>
    <row r="604" spans="1:7" ht="14" x14ac:dyDescent="0.3">
      <c r="A604" t="s">
        <v>626</v>
      </c>
      <c r="B604" t="s">
        <v>24</v>
      </c>
      <c r="C604">
        <v>8</v>
      </c>
      <c r="D604">
        <v>8</v>
      </c>
      <c r="E604">
        <v>5465.49</v>
      </c>
      <c r="F604">
        <v>4.5</v>
      </c>
      <c r="G604">
        <v>100</v>
      </c>
    </row>
    <row r="605" spans="1:7" ht="14" x14ac:dyDescent="0.3">
      <c r="A605" t="s">
        <v>627</v>
      </c>
      <c r="B605" t="s">
        <v>32</v>
      </c>
      <c r="C605">
        <v>48</v>
      </c>
      <c r="D605">
        <v>55</v>
      </c>
      <c r="E605">
        <v>5447.81</v>
      </c>
      <c r="F605">
        <v>4.24</v>
      </c>
      <c r="G605">
        <v>98.2</v>
      </c>
    </row>
    <row r="606" spans="1:7" ht="14" x14ac:dyDescent="0.3">
      <c r="A606" t="s">
        <v>628</v>
      </c>
      <c r="B606" t="s">
        <v>8</v>
      </c>
      <c r="C606">
        <v>45</v>
      </c>
      <c r="D606">
        <v>48</v>
      </c>
      <c r="E606">
        <v>5433.61</v>
      </c>
      <c r="F606">
        <v>4.51</v>
      </c>
      <c r="G606">
        <v>97.9</v>
      </c>
    </row>
    <row r="607" spans="1:7" ht="14" x14ac:dyDescent="0.3">
      <c r="A607" t="s">
        <v>629</v>
      </c>
      <c r="B607" t="s">
        <v>8</v>
      </c>
      <c r="C607">
        <v>86</v>
      </c>
      <c r="D607">
        <v>102</v>
      </c>
      <c r="E607">
        <v>5427.26</v>
      </c>
      <c r="F607">
        <v>3.69</v>
      </c>
      <c r="G607">
        <v>83.3</v>
      </c>
    </row>
    <row r="608" spans="1:7" ht="14" x14ac:dyDescent="0.3">
      <c r="A608" t="s">
        <v>630</v>
      </c>
      <c r="B608" t="s">
        <v>8</v>
      </c>
      <c r="C608">
        <v>8</v>
      </c>
      <c r="D608">
        <v>8</v>
      </c>
      <c r="E608">
        <v>5424.76</v>
      </c>
      <c r="F608">
        <v>4.25</v>
      </c>
      <c r="G608">
        <v>87.5</v>
      </c>
    </row>
    <row r="609" spans="1:7" ht="14" x14ac:dyDescent="0.3">
      <c r="A609" t="s">
        <v>631</v>
      </c>
      <c r="B609" t="s">
        <v>8</v>
      </c>
      <c r="C609">
        <v>33</v>
      </c>
      <c r="D609">
        <v>35</v>
      </c>
      <c r="E609">
        <v>5423.32</v>
      </c>
      <c r="F609">
        <v>4.21</v>
      </c>
      <c r="G609">
        <v>97.1</v>
      </c>
    </row>
    <row r="610" spans="1:7" ht="14" x14ac:dyDescent="0.3">
      <c r="A610" t="s">
        <v>632</v>
      </c>
      <c r="B610" t="s">
        <v>12</v>
      </c>
      <c r="C610">
        <v>34</v>
      </c>
      <c r="D610">
        <v>37</v>
      </c>
      <c r="E610">
        <v>5412.16</v>
      </c>
      <c r="F610">
        <v>4.59</v>
      </c>
      <c r="G610">
        <v>97.3</v>
      </c>
    </row>
    <row r="611" spans="1:7" ht="14" x14ac:dyDescent="0.3">
      <c r="A611" t="s">
        <v>633</v>
      </c>
      <c r="B611" t="s">
        <v>8</v>
      </c>
      <c r="C611">
        <v>103</v>
      </c>
      <c r="D611">
        <v>131</v>
      </c>
      <c r="E611">
        <v>5396.92</v>
      </c>
      <c r="F611">
        <v>4.3600000000000003</v>
      </c>
      <c r="G611">
        <v>90.1</v>
      </c>
    </row>
    <row r="612" spans="1:7" ht="14" x14ac:dyDescent="0.3">
      <c r="A612" t="s">
        <v>634</v>
      </c>
      <c r="B612" t="s">
        <v>8</v>
      </c>
      <c r="C612">
        <v>14</v>
      </c>
      <c r="D612">
        <v>14</v>
      </c>
      <c r="E612">
        <v>5389.16</v>
      </c>
      <c r="F612">
        <v>3.86</v>
      </c>
      <c r="G612">
        <v>92.9</v>
      </c>
    </row>
    <row r="613" spans="1:7" ht="14" x14ac:dyDescent="0.3">
      <c r="A613" t="s">
        <v>635</v>
      </c>
      <c r="B613" t="s">
        <v>8</v>
      </c>
      <c r="C613">
        <v>56</v>
      </c>
      <c r="D613">
        <v>58</v>
      </c>
      <c r="E613">
        <v>5383.47</v>
      </c>
      <c r="F613">
        <v>4.17</v>
      </c>
      <c r="G613">
        <v>94.8</v>
      </c>
    </row>
    <row r="614" spans="1:7" ht="14" x14ac:dyDescent="0.3">
      <c r="A614" t="s">
        <v>636</v>
      </c>
      <c r="B614" t="s">
        <v>8</v>
      </c>
      <c r="C614">
        <v>136</v>
      </c>
      <c r="D614">
        <v>145</v>
      </c>
      <c r="E614">
        <v>5369.02</v>
      </c>
      <c r="F614">
        <v>4.1500000000000004</v>
      </c>
      <c r="G614">
        <v>95.9</v>
      </c>
    </row>
    <row r="615" spans="1:7" ht="14" x14ac:dyDescent="0.3">
      <c r="A615" t="s">
        <v>637</v>
      </c>
      <c r="B615" t="s">
        <v>8</v>
      </c>
      <c r="C615">
        <v>62</v>
      </c>
      <c r="D615">
        <v>69</v>
      </c>
      <c r="E615">
        <v>5353.54</v>
      </c>
      <c r="F615">
        <v>4.16</v>
      </c>
      <c r="G615">
        <v>94.2</v>
      </c>
    </row>
    <row r="616" spans="1:7" ht="14" x14ac:dyDescent="0.3">
      <c r="A616" t="s">
        <v>638</v>
      </c>
      <c r="B616" t="s">
        <v>8</v>
      </c>
      <c r="C616">
        <v>22</v>
      </c>
      <c r="D616">
        <v>22</v>
      </c>
      <c r="E616">
        <v>5321.9</v>
      </c>
      <c r="F616">
        <v>4.41</v>
      </c>
      <c r="G616">
        <v>95.5</v>
      </c>
    </row>
    <row r="617" spans="1:7" ht="14" x14ac:dyDescent="0.3">
      <c r="A617" t="s">
        <v>639</v>
      </c>
      <c r="B617" t="s">
        <v>8</v>
      </c>
      <c r="C617">
        <v>74</v>
      </c>
      <c r="D617">
        <v>84</v>
      </c>
      <c r="E617">
        <v>5318.23</v>
      </c>
      <c r="F617">
        <v>4.16</v>
      </c>
      <c r="G617">
        <v>92.9</v>
      </c>
    </row>
    <row r="618" spans="1:7" ht="14" x14ac:dyDescent="0.3">
      <c r="A618" t="s">
        <v>640</v>
      </c>
      <c r="B618" t="s">
        <v>8</v>
      </c>
      <c r="C618">
        <v>62</v>
      </c>
      <c r="D618">
        <v>64</v>
      </c>
      <c r="E618">
        <v>5315.88</v>
      </c>
      <c r="F618">
        <v>4.47</v>
      </c>
      <c r="G618">
        <v>92.2</v>
      </c>
    </row>
    <row r="619" spans="1:7" ht="14" x14ac:dyDescent="0.3">
      <c r="A619" t="s">
        <v>641</v>
      </c>
      <c r="B619" t="s">
        <v>8</v>
      </c>
      <c r="C619">
        <v>64</v>
      </c>
      <c r="D619">
        <v>68</v>
      </c>
      <c r="E619">
        <v>5311.52</v>
      </c>
      <c r="F619">
        <v>3.94</v>
      </c>
      <c r="G619">
        <v>77.900000000000006</v>
      </c>
    </row>
    <row r="620" spans="1:7" ht="14" x14ac:dyDescent="0.3">
      <c r="A620" t="s">
        <v>642</v>
      </c>
      <c r="B620" t="s">
        <v>32</v>
      </c>
      <c r="C620">
        <v>19</v>
      </c>
      <c r="D620">
        <v>19</v>
      </c>
      <c r="E620">
        <v>5289.05</v>
      </c>
      <c r="F620">
        <v>4.47</v>
      </c>
      <c r="G620">
        <v>94.7</v>
      </c>
    </row>
    <row r="621" spans="1:7" ht="14" x14ac:dyDescent="0.3">
      <c r="A621" t="s">
        <v>643</v>
      </c>
      <c r="B621" t="s">
        <v>8</v>
      </c>
      <c r="C621">
        <v>30</v>
      </c>
      <c r="D621">
        <v>35</v>
      </c>
      <c r="E621">
        <v>5275.11</v>
      </c>
      <c r="F621">
        <v>4</v>
      </c>
      <c r="G621">
        <v>94.3</v>
      </c>
    </row>
    <row r="622" spans="1:7" ht="14" x14ac:dyDescent="0.3">
      <c r="A622" t="s">
        <v>644</v>
      </c>
      <c r="B622" t="s">
        <v>8</v>
      </c>
      <c r="C622">
        <v>17</v>
      </c>
      <c r="D622">
        <v>17</v>
      </c>
      <c r="E622">
        <v>5252.84</v>
      </c>
      <c r="F622">
        <v>3.88</v>
      </c>
      <c r="G622">
        <v>94.1</v>
      </c>
    </row>
    <row r="623" spans="1:7" ht="14" x14ac:dyDescent="0.3">
      <c r="A623" t="s">
        <v>645</v>
      </c>
      <c r="B623" t="s">
        <v>8</v>
      </c>
      <c r="C623">
        <v>41</v>
      </c>
      <c r="D623">
        <v>45</v>
      </c>
      <c r="E623">
        <v>5250.66</v>
      </c>
      <c r="F623">
        <v>3.84</v>
      </c>
      <c r="G623">
        <v>82.2</v>
      </c>
    </row>
    <row r="624" spans="1:7" ht="14" x14ac:dyDescent="0.3">
      <c r="A624" t="s">
        <v>646</v>
      </c>
      <c r="B624" t="s">
        <v>24</v>
      </c>
      <c r="C624">
        <v>38</v>
      </c>
      <c r="D624">
        <v>44</v>
      </c>
      <c r="E624">
        <v>5235.5</v>
      </c>
      <c r="F624">
        <v>4.55</v>
      </c>
      <c r="G624">
        <v>97.7</v>
      </c>
    </row>
    <row r="625" spans="1:7" ht="14" x14ac:dyDescent="0.3">
      <c r="A625" t="s">
        <v>647</v>
      </c>
      <c r="B625" t="s">
        <v>8</v>
      </c>
      <c r="C625">
        <v>22</v>
      </c>
      <c r="D625">
        <v>56</v>
      </c>
      <c r="E625">
        <v>5195.84</v>
      </c>
      <c r="F625">
        <v>3.41</v>
      </c>
      <c r="G625">
        <v>100</v>
      </c>
    </row>
    <row r="626" spans="1:7" ht="14" x14ac:dyDescent="0.3">
      <c r="A626" t="s">
        <v>648</v>
      </c>
      <c r="B626" t="s">
        <v>368</v>
      </c>
      <c r="C626">
        <v>36</v>
      </c>
      <c r="D626">
        <v>36</v>
      </c>
      <c r="E626">
        <v>5188.33</v>
      </c>
      <c r="F626">
        <v>3.72</v>
      </c>
      <c r="G626">
        <v>94.4</v>
      </c>
    </row>
    <row r="627" spans="1:7" ht="14" x14ac:dyDescent="0.3">
      <c r="A627" t="s">
        <v>649</v>
      </c>
      <c r="B627" t="s">
        <v>24</v>
      </c>
      <c r="C627">
        <v>19</v>
      </c>
      <c r="D627">
        <v>19</v>
      </c>
      <c r="E627">
        <v>5176.6499999999996</v>
      </c>
      <c r="F627">
        <v>3.26</v>
      </c>
      <c r="G627">
        <v>68.400000000000006</v>
      </c>
    </row>
    <row r="628" spans="1:7" ht="14" x14ac:dyDescent="0.3">
      <c r="A628" t="s">
        <v>650</v>
      </c>
      <c r="B628" t="s">
        <v>87</v>
      </c>
      <c r="C628">
        <v>11</v>
      </c>
      <c r="D628">
        <v>11</v>
      </c>
      <c r="E628">
        <v>5176.3</v>
      </c>
      <c r="F628">
        <v>4</v>
      </c>
      <c r="G628">
        <v>90.9</v>
      </c>
    </row>
    <row r="629" spans="1:7" ht="14" x14ac:dyDescent="0.3">
      <c r="A629" t="s">
        <v>651</v>
      </c>
      <c r="B629" t="s">
        <v>8</v>
      </c>
      <c r="C629">
        <v>47</v>
      </c>
      <c r="D629">
        <v>47</v>
      </c>
      <c r="E629">
        <v>5131.66</v>
      </c>
      <c r="F629">
        <v>4.28</v>
      </c>
      <c r="G629">
        <v>89.4</v>
      </c>
    </row>
    <row r="630" spans="1:7" ht="14" x14ac:dyDescent="0.3">
      <c r="A630" t="s">
        <v>652</v>
      </c>
      <c r="B630" t="s">
        <v>8</v>
      </c>
      <c r="C630">
        <v>35</v>
      </c>
      <c r="D630">
        <v>72</v>
      </c>
      <c r="E630">
        <v>5128.0600000000004</v>
      </c>
      <c r="F630">
        <v>4.01</v>
      </c>
      <c r="G630">
        <v>93.1</v>
      </c>
    </row>
    <row r="631" spans="1:7" ht="14" x14ac:dyDescent="0.3">
      <c r="A631" t="s">
        <v>653</v>
      </c>
      <c r="B631" t="s">
        <v>22</v>
      </c>
      <c r="C631">
        <v>20</v>
      </c>
      <c r="D631">
        <v>25</v>
      </c>
      <c r="E631">
        <v>5118.75</v>
      </c>
      <c r="F631">
        <v>4.28</v>
      </c>
      <c r="G631">
        <v>96</v>
      </c>
    </row>
    <row r="632" spans="1:7" ht="14" x14ac:dyDescent="0.3">
      <c r="A632" t="s">
        <v>654</v>
      </c>
      <c r="B632" t="s">
        <v>24</v>
      </c>
      <c r="C632">
        <v>87</v>
      </c>
      <c r="D632">
        <v>96</v>
      </c>
      <c r="E632">
        <v>5099.25</v>
      </c>
      <c r="F632">
        <v>4.49</v>
      </c>
      <c r="G632">
        <v>95.8</v>
      </c>
    </row>
    <row r="633" spans="1:7" ht="14" x14ac:dyDescent="0.3">
      <c r="A633" t="s">
        <v>655</v>
      </c>
      <c r="B633" t="s">
        <v>8</v>
      </c>
      <c r="C633">
        <v>29</v>
      </c>
      <c r="D633">
        <v>32</v>
      </c>
      <c r="E633">
        <v>5092.8900000000003</v>
      </c>
      <c r="F633">
        <v>3.77</v>
      </c>
      <c r="G633">
        <v>84.4</v>
      </c>
    </row>
    <row r="634" spans="1:7" ht="14" x14ac:dyDescent="0.3">
      <c r="A634" t="s">
        <v>656</v>
      </c>
      <c r="B634" t="s">
        <v>8</v>
      </c>
      <c r="C634">
        <v>67</v>
      </c>
      <c r="D634">
        <v>85</v>
      </c>
      <c r="E634">
        <v>5087.8999999999996</v>
      </c>
      <c r="F634">
        <v>4.26</v>
      </c>
      <c r="G634">
        <v>90.6</v>
      </c>
    </row>
    <row r="635" spans="1:7" ht="14" x14ac:dyDescent="0.3">
      <c r="A635" t="s">
        <v>657</v>
      </c>
      <c r="B635" t="s">
        <v>8</v>
      </c>
      <c r="C635">
        <v>33</v>
      </c>
      <c r="D635">
        <v>38</v>
      </c>
      <c r="E635">
        <v>5085.38</v>
      </c>
      <c r="F635">
        <v>4.34</v>
      </c>
      <c r="G635">
        <v>100</v>
      </c>
    </row>
    <row r="636" spans="1:7" ht="14" x14ac:dyDescent="0.3">
      <c r="A636" t="s">
        <v>658</v>
      </c>
      <c r="B636" t="s">
        <v>32</v>
      </c>
      <c r="C636">
        <v>34</v>
      </c>
      <c r="D636">
        <v>39</v>
      </c>
      <c r="E636">
        <v>5081.3100000000004</v>
      </c>
      <c r="F636">
        <v>4.13</v>
      </c>
      <c r="G636">
        <v>100</v>
      </c>
    </row>
    <row r="637" spans="1:7" ht="14" x14ac:dyDescent="0.3">
      <c r="A637" t="s">
        <v>659</v>
      </c>
      <c r="B637" t="s">
        <v>42</v>
      </c>
      <c r="C637">
        <v>7</v>
      </c>
      <c r="D637">
        <v>10</v>
      </c>
      <c r="E637">
        <v>5079.8999999999996</v>
      </c>
      <c r="F637">
        <v>4.9000000000000004</v>
      </c>
      <c r="G637">
        <v>100</v>
      </c>
    </row>
    <row r="638" spans="1:7" ht="14" x14ac:dyDescent="0.3">
      <c r="A638" t="s">
        <v>660</v>
      </c>
      <c r="B638" t="s">
        <v>8</v>
      </c>
      <c r="C638">
        <v>76</v>
      </c>
      <c r="D638">
        <v>97</v>
      </c>
      <c r="E638">
        <v>5075.68</v>
      </c>
      <c r="F638">
        <v>4.1100000000000003</v>
      </c>
      <c r="G638">
        <v>99</v>
      </c>
    </row>
    <row r="639" spans="1:7" ht="14" x14ac:dyDescent="0.3">
      <c r="A639" t="s">
        <v>661</v>
      </c>
      <c r="B639" t="s">
        <v>8</v>
      </c>
      <c r="C639">
        <v>56</v>
      </c>
      <c r="D639">
        <v>62</v>
      </c>
      <c r="E639">
        <v>5064.32</v>
      </c>
      <c r="F639">
        <v>4.3499999999999996</v>
      </c>
      <c r="G639">
        <v>93.5</v>
      </c>
    </row>
    <row r="640" spans="1:7" ht="14" x14ac:dyDescent="0.3">
      <c r="A640" t="s">
        <v>662</v>
      </c>
      <c r="B640" t="s">
        <v>8</v>
      </c>
      <c r="C640">
        <v>45</v>
      </c>
      <c r="D640">
        <v>46</v>
      </c>
      <c r="E640">
        <v>5047.21</v>
      </c>
      <c r="F640">
        <v>4.53</v>
      </c>
      <c r="G640">
        <v>97.8</v>
      </c>
    </row>
    <row r="641" spans="1:7" ht="14" x14ac:dyDescent="0.3">
      <c r="A641" t="s">
        <v>663</v>
      </c>
      <c r="B641" t="s">
        <v>8</v>
      </c>
      <c r="C641">
        <v>29</v>
      </c>
      <c r="D641">
        <v>30</v>
      </c>
      <c r="E641">
        <v>5032.71</v>
      </c>
      <c r="F641">
        <v>4.2300000000000004</v>
      </c>
      <c r="G641">
        <v>93.3</v>
      </c>
    </row>
    <row r="642" spans="1:7" ht="14" x14ac:dyDescent="0.3">
      <c r="A642" t="s">
        <v>664</v>
      </c>
      <c r="B642" t="s">
        <v>101</v>
      </c>
      <c r="C642">
        <v>25</v>
      </c>
      <c r="D642">
        <v>26</v>
      </c>
      <c r="E642">
        <v>5019.6000000000004</v>
      </c>
      <c r="F642">
        <v>4.12</v>
      </c>
      <c r="G642">
        <v>84.6</v>
      </c>
    </row>
    <row r="643" spans="1:7" ht="14" x14ac:dyDescent="0.3">
      <c r="A643" t="s">
        <v>665</v>
      </c>
      <c r="B643" t="s">
        <v>8</v>
      </c>
      <c r="C643">
        <v>32</v>
      </c>
      <c r="D643">
        <v>35</v>
      </c>
      <c r="E643">
        <v>5017.04</v>
      </c>
      <c r="F643">
        <v>4.09</v>
      </c>
      <c r="G643">
        <v>97.1</v>
      </c>
    </row>
    <row r="644" spans="1:7" ht="14" x14ac:dyDescent="0.3">
      <c r="A644" t="s">
        <v>666</v>
      </c>
      <c r="B644" t="s">
        <v>8</v>
      </c>
      <c r="C644">
        <v>7</v>
      </c>
      <c r="D644">
        <v>8</v>
      </c>
      <c r="E644">
        <v>5016.43</v>
      </c>
      <c r="F644">
        <v>4</v>
      </c>
      <c r="G644">
        <v>87.5</v>
      </c>
    </row>
    <row r="645" spans="1:7" ht="14" x14ac:dyDescent="0.3">
      <c r="A645" t="s">
        <v>667</v>
      </c>
      <c r="B645" t="s">
        <v>32</v>
      </c>
      <c r="C645">
        <v>91</v>
      </c>
      <c r="D645">
        <v>104</v>
      </c>
      <c r="E645">
        <v>5003.96</v>
      </c>
      <c r="F645">
        <v>4.26</v>
      </c>
      <c r="G645">
        <v>94.2</v>
      </c>
    </row>
    <row r="646" spans="1:7" ht="14" x14ac:dyDescent="0.3">
      <c r="A646" t="s">
        <v>668</v>
      </c>
      <c r="B646" t="s">
        <v>8</v>
      </c>
      <c r="C646">
        <v>8</v>
      </c>
      <c r="D646">
        <v>8</v>
      </c>
      <c r="E646">
        <v>4993.3999999999996</v>
      </c>
      <c r="F646">
        <v>4.38</v>
      </c>
      <c r="G646">
        <v>87.5</v>
      </c>
    </row>
    <row r="647" spans="1:7" ht="14" x14ac:dyDescent="0.3">
      <c r="A647" t="s">
        <v>669</v>
      </c>
      <c r="B647" t="s">
        <v>42</v>
      </c>
      <c r="C647">
        <v>17</v>
      </c>
      <c r="D647">
        <v>18</v>
      </c>
      <c r="E647">
        <v>4979.49</v>
      </c>
      <c r="F647">
        <v>3.82</v>
      </c>
      <c r="G647">
        <v>88.9</v>
      </c>
    </row>
    <row r="648" spans="1:7" ht="14" x14ac:dyDescent="0.3">
      <c r="A648" t="s">
        <v>670</v>
      </c>
      <c r="B648" t="s">
        <v>8</v>
      </c>
      <c r="C648">
        <v>6</v>
      </c>
      <c r="D648">
        <v>6</v>
      </c>
      <c r="E648">
        <v>4968.8900000000003</v>
      </c>
      <c r="F648">
        <v>3.5</v>
      </c>
      <c r="G648">
        <v>100</v>
      </c>
    </row>
    <row r="649" spans="1:7" ht="14" x14ac:dyDescent="0.3">
      <c r="A649" t="s">
        <v>671</v>
      </c>
      <c r="B649" t="s">
        <v>8</v>
      </c>
      <c r="C649">
        <v>85</v>
      </c>
      <c r="D649">
        <v>90</v>
      </c>
      <c r="E649">
        <v>4957.05</v>
      </c>
      <c r="F649">
        <v>3.86</v>
      </c>
      <c r="G649">
        <v>86.7</v>
      </c>
    </row>
    <row r="650" spans="1:7" ht="14" x14ac:dyDescent="0.3">
      <c r="A650" t="s">
        <v>672</v>
      </c>
      <c r="B650" t="s">
        <v>32</v>
      </c>
      <c r="C650">
        <v>35</v>
      </c>
      <c r="D650">
        <v>35</v>
      </c>
      <c r="E650">
        <v>4921.2700000000004</v>
      </c>
      <c r="F650">
        <v>4.49</v>
      </c>
      <c r="G650">
        <v>97.1</v>
      </c>
    </row>
    <row r="651" spans="1:7" ht="14" x14ac:dyDescent="0.3">
      <c r="A651" t="s">
        <v>673</v>
      </c>
      <c r="B651" t="s">
        <v>22</v>
      </c>
      <c r="C651">
        <v>37</v>
      </c>
      <c r="D651">
        <v>43</v>
      </c>
      <c r="E651">
        <v>4919.7700000000004</v>
      </c>
      <c r="F651">
        <v>3.88</v>
      </c>
      <c r="G651">
        <v>83.7</v>
      </c>
    </row>
    <row r="652" spans="1:7" ht="14" x14ac:dyDescent="0.3">
      <c r="A652" t="s">
        <v>674</v>
      </c>
      <c r="B652" t="s">
        <v>22</v>
      </c>
      <c r="C652">
        <v>45</v>
      </c>
      <c r="D652">
        <v>48</v>
      </c>
      <c r="E652">
        <v>4890.33</v>
      </c>
      <c r="F652">
        <v>4.3099999999999996</v>
      </c>
      <c r="G652">
        <v>93.8</v>
      </c>
    </row>
    <row r="653" spans="1:7" ht="14" x14ac:dyDescent="0.3">
      <c r="A653" t="s">
        <v>675</v>
      </c>
      <c r="B653" t="s">
        <v>32</v>
      </c>
      <c r="C653">
        <v>9</v>
      </c>
      <c r="D653">
        <v>14</v>
      </c>
      <c r="E653">
        <v>4881.93</v>
      </c>
      <c r="F653">
        <v>3.93</v>
      </c>
      <c r="G653">
        <v>100</v>
      </c>
    </row>
    <row r="654" spans="1:7" ht="14" x14ac:dyDescent="0.3">
      <c r="A654" t="s">
        <v>676</v>
      </c>
      <c r="B654" t="s">
        <v>8</v>
      </c>
      <c r="C654">
        <v>12</v>
      </c>
      <c r="D654">
        <v>12</v>
      </c>
      <c r="E654">
        <v>4880.84</v>
      </c>
      <c r="F654">
        <v>3.5</v>
      </c>
      <c r="G654">
        <v>100</v>
      </c>
    </row>
    <row r="655" spans="1:7" ht="14" x14ac:dyDescent="0.3">
      <c r="A655" t="s">
        <v>677</v>
      </c>
      <c r="B655" t="s">
        <v>152</v>
      </c>
      <c r="C655">
        <v>12</v>
      </c>
      <c r="D655">
        <v>12</v>
      </c>
      <c r="E655">
        <v>4877.6400000000003</v>
      </c>
      <c r="F655">
        <v>5</v>
      </c>
      <c r="G655">
        <v>100</v>
      </c>
    </row>
    <row r="656" spans="1:7" ht="14" x14ac:dyDescent="0.3">
      <c r="A656" t="s">
        <v>678</v>
      </c>
      <c r="B656" t="s">
        <v>8</v>
      </c>
      <c r="C656">
        <v>44</v>
      </c>
      <c r="D656">
        <v>66</v>
      </c>
      <c r="E656">
        <v>4877.58</v>
      </c>
      <c r="F656">
        <v>3.51</v>
      </c>
      <c r="G656">
        <v>83.3</v>
      </c>
    </row>
    <row r="657" spans="1:7" ht="14" x14ac:dyDescent="0.3">
      <c r="A657" t="s">
        <v>679</v>
      </c>
      <c r="B657" t="s">
        <v>8</v>
      </c>
      <c r="C657">
        <v>3</v>
      </c>
      <c r="D657">
        <v>3</v>
      </c>
      <c r="E657">
        <v>4874.3599999999997</v>
      </c>
      <c r="F657">
        <v>3.67</v>
      </c>
      <c r="G657">
        <v>66.7</v>
      </c>
    </row>
    <row r="658" spans="1:7" ht="14" x14ac:dyDescent="0.3">
      <c r="A658" t="s">
        <v>680</v>
      </c>
      <c r="B658" t="s">
        <v>24</v>
      </c>
      <c r="C658">
        <v>39</v>
      </c>
      <c r="D658">
        <v>41</v>
      </c>
      <c r="E658">
        <v>4849.38</v>
      </c>
      <c r="F658">
        <v>4.49</v>
      </c>
      <c r="G658">
        <v>97.6</v>
      </c>
    </row>
    <row r="659" spans="1:7" ht="14" x14ac:dyDescent="0.3">
      <c r="A659" t="s">
        <v>681</v>
      </c>
      <c r="B659" t="s">
        <v>8</v>
      </c>
      <c r="C659">
        <v>157</v>
      </c>
      <c r="D659">
        <v>167</v>
      </c>
      <c r="E659">
        <v>4827.34</v>
      </c>
      <c r="F659">
        <v>4.1900000000000004</v>
      </c>
      <c r="G659">
        <v>97</v>
      </c>
    </row>
    <row r="660" spans="1:7" ht="14" x14ac:dyDescent="0.3">
      <c r="A660" t="s">
        <v>682</v>
      </c>
      <c r="B660" t="s">
        <v>8</v>
      </c>
      <c r="C660">
        <v>41</v>
      </c>
      <c r="D660">
        <v>41</v>
      </c>
      <c r="E660">
        <v>4807.22</v>
      </c>
      <c r="F660">
        <v>4.5599999999999996</v>
      </c>
      <c r="G660">
        <v>95.1</v>
      </c>
    </row>
    <row r="661" spans="1:7" ht="14" x14ac:dyDescent="0.3">
      <c r="A661" t="s">
        <v>683</v>
      </c>
      <c r="B661" t="s">
        <v>22</v>
      </c>
      <c r="C661">
        <v>35</v>
      </c>
      <c r="D661">
        <v>42</v>
      </c>
      <c r="E661">
        <v>4801.87</v>
      </c>
      <c r="F661">
        <v>3.93</v>
      </c>
      <c r="G661">
        <v>90.5</v>
      </c>
    </row>
    <row r="662" spans="1:7" ht="14" x14ac:dyDescent="0.3">
      <c r="A662" t="s">
        <v>684</v>
      </c>
      <c r="B662" t="s">
        <v>8</v>
      </c>
      <c r="C662">
        <v>30</v>
      </c>
      <c r="D662">
        <v>31</v>
      </c>
      <c r="E662">
        <v>4794.76</v>
      </c>
      <c r="F662">
        <v>4.24</v>
      </c>
      <c r="G662">
        <v>77.400000000000006</v>
      </c>
    </row>
    <row r="663" spans="1:7" ht="14" x14ac:dyDescent="0.3">
      <c r="A663" t="s">
        <v>685</v>
      </c>
      <c r="B663" t="s">
        <v>309</v>
      </c>
      <c r="C663">
        <v>11</v>
      </c>
      <c r="D663">
        <v>18</v>
      </c>
      <c r="E663">
        <v>4791.38</v>
      </c>
      <c r="F663">
        <v>3.11</v>
      </c>
      <c r="G663">
        <v>100</v>
      </c>
    </row>
    <row r="664" spans="1:7" ht="14" x14ac:dyDescent="0.3">
      <c r="A664" t="s">
        <v>686</v>
      </c>
      <c r="B664" t="s">
        <v>38</v>
      </c>
      <c r="C664">
        <v>34</v>
      </c>
      <c r="D664">
        <v>35</v>
      </c>
      <c r="E664">
        <v>4765.66</v>
      </c>
      <c r="F664">
        <v>4.51</v>
      </c>
      <c r="G664">
        <v>100</v>
      </c>
    </row>
    <row r="665" spans="1:7" ht="14" x14ac:dyDescent="0.3">
      <c r="A665" t="s">
        <v>687</v>
      </c>
      <c r="B665" t="s">
        <v>8</v>
      </c>
      <c r="C665">
        <v>63</v>
      </c>
      <c r="D665">
        <v>73</v>
      </c>
      <c r="E665">
        <v>4762.87</v>
      </c>
      <c r="F665">
        <v>4.38</v>
      </c>
      <c r="G665">
        <v>98.6</v>
      </c>
    </row>
    <row r="666" spans="1:7" ht="14" x14ac:dyDescent="0.3">
      <c r="A666" t="s">
        <v>688</v>
      </c>
      <c r="B666" t="s">
        <v>22</v>
      </c>
      <c r="C666">
        <v>31</v>
      </c>
      <c r="D666">
        <v>32</v>
      </c>
      <c r="E666">
        <v>4757.16</v>
      </c>
      <c r="F666">
        <v>4.5</v>
      </c>
      <c r="G666">
        <v>93.8</v>
      </c>
    </row>
    <row r="667" spans="1:7" ht="14" x14ac:dyDescent="0.3">
      <c r="A667" t="s">
        <v>689</v>
      </c>
      <c r="B667" t="s">
        <v>8</v>
      </c>
      <c r="C667">
        <v>35</v>
      </c>
      <c r="D667">
        <v>35</v>
      </c>
      <c r="E667">
        <v>4756.26</v>
      </c>
      <c r="F667">
        <v>4.29</v>
      </c>
      <c r="G667">
        <v>82.9</v>
      </c>
    </row>
    <row r="668" spans="1:7" ht="14" x14ac:dyDescent="0.3">
      <c r="A668" t="s">
        <v>690</v>
      </c>
      <c r="B668" t="s">
        <v>8</v>
      </c>
      <c r="C668">
        <v>24</v>
      </c>
      <c r="D668">
        <v>24</v>
      </c>
      <c r="E668">
        <v>4748.9799999999996</v>
      </c>
      <c r="F668">
        <v>3.46</v>
      </c>
      <c r="G668">
        <v>70.8</v>
      </c>
    </row>
    <row r="669" spans="1:7" ht="14" x14ac:dyDescent="0.3">
      <c r="A669" t="s">
        <v>691</v>
      </c>
      <c r="B669" t="s">
        <v>8</v>
      </c>
      <c r="C669">
        <v>5</v>
      </c>
      <c r="D669">
        <v>10</v>
      </c>
      <c r="E669">
        <v>4722.97</v>
      </c>
      <c r="F669">
        <v>4.7</v>
      </c>
      <c r="G669">
        <v>90</v>
      </c>
    </row>
    <row r="670" spans="1:7" ht="14" x14ac:dyDescent="0.3">
      <c r="A670" t="s">
        <v>692</v>
      </c>
      <c r="B670" t="s">
        <v>8</v>
      </c>
      <c r="C670">
        <v>46</v>
      </c>
      <c r="D670">
        <v>52</v>
      </c>
      <c r="E670">
        <v>4721.18</v>
      </c>
      <c r="F670">
        <v>3.54</v>
      </c>
      <c r="G670">
        <v>100</v>
      </c>
    </row>
    <row r="671" spans="1:7" ht="14" x14ac:dyDescent="0.3">
      <c r="A671" t="s">
        <v>693</v>
      </c>
      <c r="B671" t="s">
        <v>8</v>
      </c>
      <c r="C671">
        <v>29</v>
      </c>
      <c r="D671">
        <v>31</v>
      </c>
      <c r="E671">
        <v>4719.45</v>
      </c>
      <c r="F671">
        <v>4.45</v>
      </c>
      <c r="G671">
        <v>100</v>
      </c>
    </row>
    <row r="672" spans="1:7" ht="14" x14ac:dyDescent="0.3">
      <c r="A672" t="s">
        <v>694</v>
      </c>
      <c r="B672" t="s">
        <v>8</v>
      </c>
      <c r="C672">
        <v>9</v>
      </c>
      <c r="D672">
        <v>10</v>
      </c>
      <c r="E672">
        <v>4719.4399999999996</v>
      </c>
      <c r="F672">
        <v>4</v>
      </c>
      <c r="G672">
        <v>70</v>
      </c>
    </row>
    <row r="673" spans="1:7" ht="14" x14ac:dyDescent="0.3">
      <c r="A673" t="s">
        <v>695</v>
      </c>
      <c r="B673" t="s">
        <v>8</v>
      </c>
      <c r="C673">
        <v>58</v>
      </c>
      <c r="D673">
        <v>75</v>
      </c>
      <c r="E673">
        <v>4673.71</v>
      </c>
      <c r="F673">
        <v>4.3099999999999996</v>
      </c>
      <c r="G673">
        <v>88</v>
      </c>
    </row>
    <row r="674" spans="1:7" ht="14" x14ac:dyDescent="0.3">
      <c r="A674" t="s">
        <v>696</v>
      </c>
      <c r="B674" t="s">
        <v>8</v>
      </c>
      <c r="C674">
        <v>16</v>
      </c>
      <c r="D674">
        <v>21</v>
      </c>
      <c r="E674">
        <v>4665.9799999999996</v>
      </c>
      <c r="F674">
        <v>3.65</v>
      </c>
      <c r="G674">
        <v>95.2</v>
      </c>
    </row>
    <row r="675" spans="1:7" ht="14" x14ac:dyDescent="0.3">
      <c r="A675" t="s">
        <v>697</v>
      </c>
      <c r="B675" t="s">
        <v>8</v>
      </c>
      <c r="C675">
        <v>9</v>
      </c>
      <c r="D675">
        <v>9</v>
      </c>
      <c r="E675">
        <v>4658.3900000000003</v>
      </c>
      <c r="F675">
        <v>3.78</v>
      </c>
      <c r="G675">
        <v>88.9</v>
      </c>
    </row>
    <row r="676" spans="1:7" ht="14" x14ac:dyDescent="0.3">
      <c r="A676" t="s">
        <v>698</v>
      </c>
      <c r="B676" t="s">
        <v>8</v>
      </c>
      <c r="C676">
        <v>39</v>
      </c>
      <c r="D676">
        <v>39</v>
      </c>
      <c r="E676">
        <v>4653.13</v>
      </c>
      <c r="F676">
        <v>4.33</v>
      </c>
      <c r="G676">
        <v>89.7</v>
      </c>
    </row>
    <row r="677" spans="1:7" ht="14" x14ac:dyDescent="0.3">
      <c r="A677" t="s">
        <v>699</v>
      </c>
      <c r="B677" t="s">
        <v>8</v>
      </c>
      <c r="C677">
        <v>11</v>
      </c>
      <c r="D677">
        <v>11</v>
      </c>
      <c r="E677">
        <v>4650.66</v>
      </c>
      <c r="F677">
        <v>3.27</v>
      </c>
      <c r="G677">
        <v>63.6</v>
      </c>
    </row>
    <row r="678" spans="1:7" ht="14" x14ac:dyDescent="0.3">
      <c r="A678" t="s">
        <v>700</v>
      </c>
      <c r="B678" t="s">
        <v>8</v>
      </c>
      <c r="C678">
        <v>35</v>
      </c>
      <c r="D678">
        <v>43</v>
      </c>
      <c r="E678">
        <v>4648.1499999999996</v>
      </c>
      <c r="F678">
        <v>4.42</v>
      </c>
      <c r="G678">
        <v>97.7</v>
      </c>
    </row>
    <row r="679" spans="1:7" ht="14" x14ac:dyDescent="0.3">
      <c r="A679" t="s">
        <v>701</v>
      </c>
      <c r="B679" t="s">
        <v>8</v>
      </c>
      <c r="C679">
        <v>22</v>
      </c>
      <c r="D679">
        <v>22</v>
      </c>
      <c r="E679">
        <v>4647.37</v>
      </c>
      <c r="F679">
        <v>4.18</v>
      </c>
      <c r="G679">
        <v>90.9</v>
      </c>
    </row>
    <row r="680" spans="1:7" ht="14" x14ac:dyDescent="0.3">
      <c r="A680" t="s">
        <v>702</v>
      </c>
      <c r="B680" t="s">
        <v>8</v>
      </c>
      <c r="C680">
        <v>75</v>
      </c>
      <c r="D680">
        <v>81</v>
      </c>
      <c r="E680">
        <v>4645.8900000000003</v>
      </c>
      <c r="F680">
        <v>4.25</v>
      </c>
      <c r="G680">
        <v>95.1</v>
      </c>
    </row>
    <row r="681" spans="1:7" ht="14" x14ac:dyDescent="0.3">
      <c r="A681" t="s">
        <v>703</v>
      </c>
      <c r="B681" t="s">
        <v>8</v>
      </c>
      <c r="C681">
        <v>77</v>
      </c>
      <c r="D681">
        <v>82</v>
      </c>
      <c r="E681">
        <v>4640.59</v>
      </c>
      <c r="F681">
        <v>3.92</v>
      </c>
      <c r="G681">
        <v>89</v>
      </c>
    </row>
    <row r="682" spans="1:7" ht="14" x14ac:dyDescent="0.3">
      <c r="A682" t="s">
        <v>704</v>
      </c>
      <c r="B682" t="s">
        <v>24</v>
      </c>
      <c r="C682">
        <v>50</v>
      </c>
      <c r="D682">
        <v>65</v>
      </c>
      <c r="E682">
        <v>4631.8</v>
      </c>
      <c r="F682">
        <v>3.22</v>
      </c>
      <c r="G682">
        <v>96.9</v>
      </c>
    </row>
    <row r="683" spans="1:7" ht="14" x14ac:dyDescent="0.3">
      <c r="A683" t="s">
        <v>705</v>
      </c>
      <c r="B683" t="s">
        <v>8</v>
      </c>
      <c r="C683">
        <v>43</v>
      </c>
      <c r="D683">
        <v>43</v>
      </c>
      <c r="E683">
        <v>4627.2</v>
      </c>
      <c r="F683">
        <v>4.21</v>
      </c>
      <c r="G683">
        <v>97.7</v>
      </c>
    </row>
    <row r="684" spans="1:7" ht="14" x14ac:dyDescent="0.3">
      <c r="A684" t="s">
        <v>706</v>
      </c>
      <c r="B684" t="s">
        <v>42</v>
      </c>
      <c r="C684">
        <v>66</v>
      </c>
      <c r="D684">
        <v>81</v>
      </c>
      <c r="E684">
        <v>4596.71</v>
      </c>
      <c r="F684">
        <v>4.1900000000000004</v>
      </c>
      <c r="G684">
        <v>95.1</v>
      </c>
    </row>
    <row r="685" spans="1:7" ht="14" x14ac:dyDescent="0.3">
      <c r="A685" t="s">
        <v>707</v>
      </c>
      <c r="B685" t="s">
        <v>32</v>
      </c>
      <c r="C685">
        <v>23</v>
      </c>
      <c r="D685">
        <v>24</v>
      </c>
      <c r="E685">
        <v>4571.8</v>
      </c>
      <c r="F685">
        <v>3.87</v>
      </c>
      <c r="G685">
        <v>87.5</v>
      </c>
    </row>
    <row r="686" spans="1:7" ht="14" x14ac:dyDescent="0.3">
      <c r="A686" t="s">
        <v>708</v>
      </c>
      <c r="B686" t="s">
        <v>42</v>
      </c>
      <c r="C686">
        <v>19</v>
      </c>
      <c r="D686">
        <v>19</v>
      </c>
      <c r="E686">
        <v>4562.97</v>
      </c>
      <c r="F686">
        <v>4.47</v>
      </c>
      <c r="G686">
        <v>100</v>
      </c>
    </row>
    <row r="687" spans="1:7" ht="14" x14ac:dyDescent="0.3">
      <c r="A687" t="s">
        <v>709</v>
      </c>
      <c r="B687" t="s">
        <v>152</v>
      </c>
      <c r="C687">
        <v>12</v>
      </c>
      <c r="D687">
        <v>13</v>
      </c>
      <c r="E687">
        <v>4554.88</v>
      </c>
      <c r="F687">
        <v>4.38</v>
      </c>
      <c r="G687">
        <v>92.3</v>
      </c>
    </row>
    <row r="688" spans="1:7" ht="14" x14ac:dyDescent="0.3">
      <c r="A688" t="s">
        <v>710</v>
      </c>
      <c r="B688" t="s">
        <v>8</v>
      </c>
      <c r="C688">
        <v>26</v>
      </c>
      <c r="D688">
        <v>29</v>
      </c>
      <c r="E688">
        <v>4554.46</v>
      </c>
      <c r="F688">
        <v>3.9</v>
      </c>
      <c r="G688">
        <v>96.6</v>
      </c>
    </row>
    <row r="689" spans="1:7" ht="14" x14ac:dyDescent="0.3">
      <c r="A689" t="s">
        <v>711</v>
      </c>
      <c r="B689" t="s">
        <v>8</v>
      </c>
      <c r="C689">
        <v>29</v>
      </c>
      <c r="D689">
        <v>30</v>
      </c>
      <c r="E689">
        <v>4545.5200000000004</v>
      </c>
      <c r="F689">
        <v>3.97</v>
      </c>
      <c r="G689">
        <v>86.7</v>
      </c>
    </row>
    <row r="690" spans="1:7" ht="14" x14ac:dyDescent="0.3">
      <c r="A690" t="s">
        <v>712</v>
      </c>
      <c r="B690" t="s">
        <v>32</v>
      </c>
      <c r="C690">
        <v>29</v>
      </c>
      <c r="D690">
        <v>42</v>
      </c>
      <c r="E690">
        <v>4540.8999999999996</v>
      </c>
      <c r="F690">
        <v>4.21</v>
      </c>
      <c r="G690">
        <v>88.1</v>
      </c>
    </row>
    <row r="691" spans="1:7" ht="14" x14ac:dyDescent="0.3">
      <c r="A691" t="s">
        <v>713</v>
      </c>
      <c r="B691" t="s">
        <v>42</v>
      </c>
      <c r="C691">
        <v>5</v>
      </c>
      <c r="D691">
        <v>5</v>
      </c>
      <c r="E691">
        <v>4533.87</v>
      </c>
      <c r="F691">
        <v>4.2</v>
      </c>
      <c r="G691">
        <v>100</v>
      </c>
    </row>
    <row r="692" spans="1:7" ht="14" x14ac:dyDescent="0.3">
      <c r="A692" t="s">
        <v>714</v>
      </c>
      <c r="B692" t="s">
        <v>8</v>
      </c>
      <c r="C692">
        <v>18</v>
      </c>
      <c r="D692">
        <v>18</v>
      </c>
      <c r="E692">
        <v>4524.2700000000004</v>
      </c>
      <c r="F692">
        <v>4.4400000000000004</v>
      </c>
      <c r="G692">
        <v>94.4</v>
      </c>
    </row>
    <row r="693" spans="1:7" ht="14" x14ac:dyDescent="0.3">
      <c r="A693" t="s">
        <v>715</v>
      </c>
      <c r="B693" t="s">
        <v>8</v>
      </c>
      <c r="C693">
        <v>34</v>
      </c>
      <c r="D693">
        <v>34</v>
      </c>
      <c r="E693">
        <v>4517.1499999999996</v>
      </c>
      <c r="F693">
        <v>4.03</v>
      </c>
      <c r="G693">
        <v>91.2</v>
      </c>
    </row>
    <row r="694" spans="1:7" ht="14" x14ac:dyDescent="0.3">
      <c r="A694" t="s">
        <v>716</v>
      </c>
      <c r="B694" t="s">
        <v>42</v>
      </c>
      <c r="C694">
        <v>20</v>
      </c>
      <c r="D694">
        <v>20</v>
      </c>
      <c r="E694">
        <v>4471.92</v>
      </c>
      <c r="F694">
        <v>3.8</v>
      </c>
      <c r="G694">
        <v>70</v>
      </c>
    </row>
    <row r="695" spans="1:7" ht="14" x14ac:dyDescent="0.3">
      <c r="A695" t="s">
        <v>717</v>
      </c>
      <c r="B695" t="s">
        <v>8</v>
      </c>
      <c r="C695">
        <v>48</v>
      </c>
      <c r="D695">
        <v>56</v>
      </c>
      <c r="E695">
        <v>4471.79</v>
      </c>
      <c r="F695">
        <v>3.77</v>
      </c>
      <c r="G695">
        <v>83.9</v>
      </c>
    </row>
    <row r="696" spans="1:7" ht="14" x14ac:dyDescent="0.3">
      <c r="A696" t="s">
        <v>718</v>
      </c>
      <c r="B696" t="s">
        <v>8</v>
      </c>
      <c r="C696">
        <v>31</v>
      </c>
      <c r="D696">
        <v>31</v>
      </c>
      <c r="E696">
        <v>4471.0600000000004</v>
      </c>
      <c r="F696">
        <v>4.0999999999999996</v>
      </c>
      <c r="G696">
        <v>96.8</v>
      </c>
    </row>
    <row r="697" spans="1:7" ht="14" x14ac:dyDescent="0.3">
      <c r="A697" t="s">
        <v>719</v>
      </c>
      <c r="B697" t="s">
        <v>8</v>
      </c>
      <c r="C697">
        <v>48</v>
      </c>
      <c r="D697">
        <v>55</v>
      </c>
      <c r="E697">
        <v>4468.93</v>
      </c>
      <c r="F697">
        <v>3.04</v>
      </c>
      <c r="G697">
        <v>80</v>
      </c>
    </row>
    <row r="698" spans="1:7" ht="14" x14ac:dyDescent="0.3">
      <c r="A698" t="s">
        <v>720</v>
      </c>
      <c r="B698" t="s">
        <v>8</v>
      </c>
      <c r="C698">
        <v>108</v>
      </c>
      <c r="D698">
        <v>115</v>
      </c>
      <c r="E698">
        <v>4467.13</v>
      </c>
      <c r="F698">
        <v>3.9</v>
      </c>
      <c r="G698">
        <v>93.9</v>
      </c>
    </row>
    <row r="699" spans="1:7" ht="14" x14ac:dyDescent="0.3">
      <c r="A699" t="s">
        <v>721</v>
      </c>
      <c r="B699" t="s">
        <v>8</v>
      </c>
      <c r="C699">
        <v>20</v>
      </c>
      <c r="D699">
        <v>20</v>
      </c>
      <c r="E699">
        <v>4467.01</v>
      </c>
      <c r="F699">
        <v>4.25</v>
      </c>
      <c r="G699">
        <v>95</v>
      </c>
    </row>
    <row r="700" spans="1:7" ht="14" x14ac:dyDescent="0.3">
      <c r="A700" t="s">
        <v>722</v>
      </c>
      <c r="B700" t="s">
        <v>8</v>
      </c>
      <c r="C700">
        <v>5</v>
      </c>
      <c r="D700">
        <v>8</v>
      </c>
      <c r="E700">
        <v>4466.3100000000004</v>
      </c>
      <c r="F700">
        <v>4.43</v>
      </c>
      <c r="G700">
        <v>87.5</v>
      </c>
    </row>
    <row r="701" spans="1:7" ht="14" x14ac:dyDescent="0.3">
      <c r="A701" t="s">
        <v>723</v>
      </c>
      <c r="B701" t="s">
        <v>32</v>
      </c>
      <c r="C701">
        <v>30</v>
      </c>
      <c r="D701">
        <v>30</v>
      </c>
      <c r="E701">
        <v>4463.88</v>
      </c>
      <c r="F701">
        <v>4.83</v>
      </c>
      <c r="G701">
        <v>96.7</v>
      </c>
    </row>
    <row r="702" spans="1:7" ht="14" x14ac:dyDescent="0.3">
      <c r="A702" t="s">
        <v>724</v>
      </c>
      <c r="B702" t="s">
        <v>8</v>
      </c>
      <c r="C702">
        <v>44</v>
      </c>
      <c r="D702">
        <v>46</v>
      </c>
      <c r="E702">
        <v>4449.21</v>
      </c>
      <c r="F702">
        <v>4.3600000000000003</v>
      </c>
      <c r="G702">
        <v>89.1</v>
      </c>
    </row>
    <row r="703" spans="1:7" ht="14" x14ac:dyDescent="0.3">
      <c r="A703" t="s">
        <v>725</v>
      </c>
      <c r="B703" t="s">
        <v>8</v>
      </c>
      <c r="C703">
        <v>37</v>
      </c>
      <c r="D703">
        <v>38</v>
      </c>
      <c r="E703">
        <v>4441</v>
      </c>
      <c r="F703">
        <v>4.34</v>
      </c>
      <c r="G703">
        <v>89.5</v>
      </c>
    </row>
    <row r="704" spans="1:7" ht="14" x14ac:dyDescent="0.3">
      <c r="A704" t="s">
        <v>726</v>
      </c>
      <c r="B704" t="s">
        <v>24</v>
      </c>
      <c r="C704">
        <v>45</v>
      </c>
      <c r="D704">
        <v>61</v>
      </c>
      <c r="E704">
        <v>4428.03</v>
      </c>
      <c r="F704">
        <v>4.0199999999999996</v>
      </c>
      <c r="G704">
        <v>95.1</v>
      </c>
    </row>
    <row r="705" spans="1:7" ht="14" x14ac:dyDescent="0.3">
      <c r="A705" t="s">
        <v>727</v>
      </c>
      <c r="B705" t="s">
        <v>8</v>
      </c>
      <c r="C705">
        <v>17</v>
      </c>
      <c r="D705">
        <v>18</v>
      </c>
      <c r="E705">
        <v>4416.5200000000004</v>
      </c>
      <c r="F705">
        <v>4.5</v>
      </c>
      <c r="G705">
        <v>94.4</v>
      </c>
    </row>
    <row r="706" spans="1:7" ht="14" x14ac:dyDescent="0.3">
      <c r="A706" t="s">
        <v>728</v>
      </c>
      <c r="B706" t="s">
        <v>8</v>
      </c>
      <c r="C706">
        <v>33</v>
      </c>
      <c r="D706">
        <v>34</v>
      </c>
      <c r="E706">
        <v>4415.8</v>
      </c>
      <c r="F706">
        <v>3.91</v>
      </c>
      <c r="G706">
        <v>91.2</v>
      </c>
    </row>
    <row r="707" spans="1:7" ht="14" x14ac:dyDescent="0.3">
      <c r="A707" t="s">
        <v>729</v>
      </c>
      <c r="B707" t="s">
        <v>8</v>
      </c>
      <c r="C707">
        <v>50</v>
      </c>
      <c r="D707">
        <v>51</v>
      </c>
      <c r="E707">
        <v>4404.3599999999997</v>
      </c>
      <c r="F707">
        <v>3.92</v>
      </c>
      <c r="G707">
        <v>84.3</v>
      </c>
    </row>
    <row r="708" spans="1:7" ht="14" x14ac:dyDescent="0.3">
      <c r="A708" t="s">
        <v>730</v>
      </c>
      <c r="B708" t="s">
        <v>8</v>
      </c>
      <c r="C708">
        <v>23</v>
      </c>
      <c r="D708">
        <v>25</v>
      </c>
      <c r="E708">
        <v>4366.66</v>
      </c>
      <c r="F708">
        <v>4.7</v>
      </c>
      <c r="G708">
        <v>100</v>
      </c>
    </row>
    <row r="709" spans="1:7" ht="14" x14ac:dyDescent="0.3">
      <c r="A709" t="s">
        <v>731</v>
      </c>
      <c r="B709" t="s">
        <v>8</v>
      </c>
      <c r="C709">
        <v>25</v>
      </c>
      <c r="D709">
        <v>28</v>
      </c>
      <c r="E709">
        <v>4365.78</v>
      </c>
      <c r="F709">
        <v>3.79</v>
      </c>
      <c r="G709">
        <v>92.9</v>
      </c>
    </row>
    <row r="710" spans="1:7" ht="14" x14ac:dyDescent="0.3">
      <c r="A710" t="s">
        <v>732</v>
      </c>
      <c r="B710" t="s">
        <v>8</v>
      </c>
      <c r="C710">
        <v>32</v>
      </c>
      <c r="D710">
        <v>32</v>
      </c>
      <c r="E710">
        <v>4364.99</v>
      </c>
      <c r="F710">
        <v>3.97</v>
      </c>
      <c r="G710">
        <v>90.6</v>
      </c>
    </row>
    <row r="711" spans="1:7" ht="14" x14ac:dyDescent="0.3">
      <c r="A711" t="s">
        <v>733</v>
      </c>
      <c r="B711" t="s">
        <v>87</v>
      </c>
      <c r="C711">
        <v>22</v>
      </c>
      <c r="D711">
        <v>22</v>
      </c>
      <c r="E711">
        <v>4364.47</v>
      </c>
      <c r="F711">
        <v>4.8099999999999996</v>
      </c>
      <c r="G711">
        <v>100</v>
      </c>
    </row>
    <row r="712" spans="1:7" ht="14" x14ac:dyDescent="0.3">
      <c r="A712" t="s">
        <v>734</v>
      </c>
      <c r="B712" t="s">
        <v>32</v>
      </c>
      <c r="C712">
        <v>32</v>
      </c>
      <c r="D712">
        <v>36</v>
      </c>
      <c r="E712">
        <v>4352.5200000000004</v>
      </c>
      <c r="F712">
        <v>3.74</v>
      </c>
      <c r="G712">
        <v>97.2</v>
      </c>
    </row>
    <row r="713" spans="1:7" ht="14" x14ac:dyDescent="0.3">
      <c r="A713" t="s">
        <v>735</v>
      </c>
      <c r="B713" t="s">
        <v>22</v>
      </c>
      <c r="C713">
        <v>3</v>
      </c>
      <c r="D713">
        <v>3</v>
      </c>
      <c r="E713">
        <v>4349.04</v>
      </c>
      <c r="F713">
        <v>3.67</v>
      </c>
      <c r="G713">
        <v>100</v>
      </c>
    </row>
    <row r="714" spans="1:7" ht="14" x14ac:dyDescent="0.3">
      <c r="A714" t="s">
        <v>736</v>
      </c>
      <c r="B714" t="s">
        <v>8</v>
      </c>
      <c r="C714">
        <v>25</v>
      </c>
      <c r="D714">
        <v>26</v>
      </c>
      <c r="E714">
        <v>4342.8100000000004</v>
      </c>
      <c r="F714">
        <v>4.4800000000000004</v>
      </c>
      <c r="G714">
        <v>96.2</v>
      </c>
    </row>
    <row r="715" spans="1:7" ht="14" x14ac:dyDescent="0.3">
      <c r="A715" s="1" t="s">
        <v>737</v>
      </c>
      <c r="B715" t="s">
        <v>8</v>
      </c>
      <c r="C715">
        <v>32</v>
      </c>
      <c r="D715">
        <v>43</v>
      </c>
      <c r="E715">
        <v>4340.8599999999997</v>
      </c>
      <c r="F715">
        <v>4.1399999999999997</v>
      </c>
      <c r="G715">
        <v>97.7</v>
      </c>
    </row>
    <row r="716" spans="1:7" ht="14" x14ac:dyDescent="0.3">
      <c r="A716" t="s">
        <v>738</v>
      </c>
      <c r="B716" t="s">
        <v>8</v>
      </c>
      <c r="C716">
        <v>55</v>
      </c>
      <c r="D716">
        <v>60</v>
      </c>
      <c r="E716">
        <v>4336.63</v>
      </c>
      <c r="F716">
        <v>4.13</v>
      </c>
      <c r="G716">
        <v>98.3</v>
      </c>
    </row>
    <row r="717" spans="1:7" ht="14" x14ac:dyDescent="0.3">
      <c r="A717" s="1" t="s">
        <v>739</v>
      </c>
      <c r="B717" t="s">
        <v>32</v>
      </c>
      <c r="C717">
        <v>27</v>
      </c>
      <c r="D717">
        <v>28</v>
      </c>
      <c r="E717">
        <v>4336.62</v>
      </c>
      <c r="F717">
        <v>4.1500000000000004</v>
      </c>
      <c r="G717">
        <v>96.4</v>
      </c>
    </row>
    <row r="718" spans="1:7" ht="14" x14ac:dyDescent="0.3">
      <c r="A718" t="s">
        <v>740</v>
      </c>
      <c r="B718" t="s">
        <v>22</v>
      </c>
      <c r="C718">
        <v>29</v>
      </c>
      <c r="D718">
        <v>45</v>
      </c>
      <c r="E718">
        <v>4336.26</v>
      </c>
      <c r="F718">
        <v>3.89</v>
      </c>
      <c r="G718">
        <v>88.9</v>
      </c>
    </row>
    <row r="719" spans="1:7" ht="14" x14ac:dyDescent="0.3">
      <c r="A719" t="s">
        <v>741</v>
      </c>
      <c r="B719" t="s">
        <v>8</v>
      </c>
      <c r="C719">
        <v>63</v>
      </c>
      <c r="D719">
        <v>67</v>
      </c>
      <c r="E719">
        <v>4316.51</v>
      </c>
      <c r="F719">
        <v>3.84</v>
      </c>
      <c r="G719">
        <v>94</v>
      </c>
    </row>
    <row r="720" spans="1:7" ht="14" x14ac:dyDescent="0.3">
      <c r="A720" t="s">
        <v>742</v>
      </c>
      <c r="B720" t="s">
        <v>8</v>
      </c>
      <c r="C720">
        <v>24</v>
      </c>
      <c r="D720">
        <v>28</v>
      </c>
      <c r="E720">
        <v>4310.21</v>
      </c>
      <c r="F720">
        <v>4.25</v>
      </c>
      <c r="G720">
        <v>96.4</v>
      </c>
    </row>
    <row r="721" spans="1:7" ht="14" x14ac:dyDescent="0.3">
      <c r="A721" t="s">
        <v>743</v>
      </c>
      <c r="B721" t="s">
        <v>8</v>
      </c>
      <c r="C721">
        <v>24</v>
      </c>
      <c r="D721">
        <v>30</v>
      </c>
      <c r="E721">
        <v>4309.1000000000004</v>
      </c>
      <c r="F721">
        <v>4.4000000000000004</v>
      </c>
      <c r="G721">
        <v>96.7</v>
      </c>
    </row>
    <row r="722" spans="1:7" ht="14" x14ac:dyDescent="0.3">
      <c r="A722" t="s">
        <v>744</v>
      </c>
      <c r="B722" t="s">
        <v>8</v>
      </c>
      <c r="C722">
        <v>23</v>
      </c>
      <c r="D722">
        <v>24</v>
      </c>
      <c r="E722">
        <v>4304.28</v>
      </c>
      <c r="F722">
        <v>3.96</v>
      </c>
      <c r="G722">
        <v>87.5</v>
      </c>
    </row>
    <row r="723" spans="1:7" ht="14" x14ac:dyDescent="0.3">
      <c r="A723" t="s">
        <v>745</v>
      </c>
      <c r="B723" t="s">
        <v>8</v>
      </c>
      <c r="C723">
        <v>31</v>
      </c>
      <c r="D723">
        <v>38</v>
      </c>
      <c r="E723">
        <v>4301.1099999999997</v>
      </c>
      <c r="F723">
        <v>3.54</v>
      </c>
      <c r="G723">
        <v>89.5</v>
      </c>
    </row>
    <row r="724" spans="1:7" ht="14" x14ac:dyDescent="0.3">
      <c r="A724" t="s">
        <v>746</v>
      </c>
      <c r="B724" t="s">
        <v>8</v>
      </c>
      <c r="C724">
        <v>26</v>
      </c>
      <c r="D724">
        <v>26</v>
      </c>
      <c r="E724">
        <v>4298.03</v>
      </c>
      <c r="F724">
        <v>4.1900000000000004</v>
      </c>
      <c r="G724">
        <v>92.3</v>
      </c>
    </row>
    <row r="725" spans="1:7" ht="14" x14ac:dyDescent="0.3">
      <c r="A725" t="s">
        <v>747</v>
      </c>
      <c r="B725" t="s">
        <v>8</v>
      </c>
      <c r="C725">
        <v>42</v>
      </c>
      <c r="D725">
        <v>47</v>
      </c>
      <c r="E725">
        <v>4295.72</v>
      </c>
      <c r="F725">
        <v>4.17</v>
      </c>
      <c r="G725">
        <v>97.9</v>
      </c>
    </row>
    <row r="726" spans="1:7" ht="14" x14ac:dyDescent="0.3">
      <c r="A726" t="s">
        <v>748</v>
      </c>
      <c r="B726" t="s">
        <v>87</v>
      </c>
      <c r="C726">
        <v>19</v>
      </c>
      <c r="D726">
        <v>19</v>
      </c>
      <c r="E726">
        <v>4292.71</v>
      </c>
      <c r="F726">
        <v>4.05</v>
      </c>
      <c r="G726">
        <v>78.900000000000006</v>
      </c>
    </row>
    <row r="727" spans="1:7" ht="14" x14ac:dyDescent="0.3">
      <c r="A727" t="s">
        <v>749</v>
      </c>
      <c r="B727" t="s">
        <v>152</v>
      </c>
      <c r="C727">
        <v>11</v>
      </c>
      <c r="D727">
        <v>11</v>
      </c>
      <c r="E727">
        <v>4281.96</v>
      </c>
      <c r="F727">
        <v>3.36</v>
      </c>
      <c r="G727">
        <v>100</v>
      </c>
    </row>
    <row r="728" spans="1:7" ht="14" x14ac:dyDescent="0.3">
      <c r="A728" t="s">
        <v>750</v>
      </c>
      <c r="B728" t="s">
        <v>42</v>
      </c>
      <c r="C728">
        <v>24</v>
      </c>
      <c r="D728">
        <v>26</v>
      </c>
      <c r="E728">
        <v>4272.6499999999996</v>
      </c>
      <c r="F728">
        <v>3.96</v>
      </c>
      <c r="G728">
        <v>100</v>
      </c>
    </row>
    <row r="729" spans="1:7" ht="14" x14ac:dyDescent="0.3">
      <c r="A729" t="s">
        <v>751</v>
      </c>
      <c r="B729" t="s">
        <v>24</v>
      </c>
      <c r="C729">
        <v>37</v>
      </c>
      <c r="D729">
        <v>39</v>
      </c>
      <c r="E729">
        <v>4268</v>
      </c>
      <c r="F729">
        <v>3.97</v>
      </c>
      <c r="G729">
        <v>97.4</v>
      </c>
    </row>
    <row r="730" spans="1:7" ht="14" x14ac:dyDescent="0.3">
      <c r="A730" t="s">
        <v>752</v>
      </c>
      <c r="B730" t="s">
        <v>8</v>
      </c>
      <c r="C730">
        <v>27</v>
      </c>
      <c r="D730">
        <v>29</v>
      </c>
      <c r="E730">
        <v>4232.6499999999996</v>
      </c>
      <c r="F730">
        <v>4.45</v>
      </c>
      <c r="G730">
        <v>96.6</v>
      </c>
    </row>
    <row r="731" spans="1:7" ht="14" x14ac:dyDescent="0.3">
      <c r="A731" t="s">
        <v>753</v>
      </c>
      <c r="B731" t="s">
        <v>8</v>
      </c>
      <c r="C731">
        <v>27</v>
      </c>
      <c r="D731">
        <v>27</v>
      </c>
      <c r="E731">
        <v>4232.55</v>
      </c>
      <c r="F731">
        <v>4.1900000000000004</v>
      </c>
      <c r="G731">
        <v>92.6</v>
      </c>
    </row>
    <row r="732" spans="1:7" ht="14" x14ac:dyDescent="0.3">
      <c r="A732" t="s">
        <v>754</v>
      </c>
      <c r="B732" t="s">
        <v>8</v>
      </c>
      <c r="C732">
        <v>36</v>
      </c>
      <c r="D732">
        <v>41</v>
      </c>
      <c r="E732">
        <v>4231.8999999999996</v>
      </c>
      <c r="F732">
        <v>3.49</v>
      </c>
      <c r="G732">
        <v>97.6</v>
      </c>
    </row>
    <row r="733" spans="1:7" ht="14" x14ac:dyDescent="0.3">
      <c r="A733" t="s">
        <v>755</v>
      </c>
      <c r="B733" t="s">
        <v>8</v>
      </c>
      <c r="C733">
        <v>16</v>
      </c>
      <c r="D733">
        <v>16</v>
      </c>
      <c r="E733">
        <v>4230.4799999999996</v>
      </c>
      <c r="F733">
        <v>4.13</v>
      </c>
      <c r="G733">
        <v>87.5</v>
      </c>
    </row>
    <row r="734" spans="1:7" ht="14" x14ac:dyDescent="0.3">
      <c r="A734" t="s">
        <v>756</v>
      </c>
      <c r="B734" t="s">
        <v>8</v>
      </c>
      <c r="C734">
        <v>28</v>
      </c>
      <c r="D734">
        <v>63</v>
      </c>
      <c r="E734">
        <v>4220.42</v>
      </c>
      <c r="F734">
        <v>3.11</v>
      </c>
      <c r="G734">
        <v>96.8</v>
      </c>
    </row>
    <row r="735" spans="1:7" ht="14" x14ac:dyDescent="0.3">
      <c r="A735" t="s">
        <v>757</v>
      </c>
      <c r="B735" t="s">
        <v>8</v>
      </c>
      <c r="C735">
        <v>9</v>
      </c>
      <c r="D735">
        <v>9</v>
      </c>
      <c r="E735">
        <v>4214.29</v>
      </c>
      <c r="F735">
        <v>4.5599999999999996</v>
      </c>
      <c r="G735">
        <v>88.9</v>
      </c>
    </row>
    <row r="736" spans="1:7" ht="14" x14ac:dyDescent="0.3">
      <c r="A736" t="s">
        <v>758</v>
      </c>
      <c r="B736" t="s">
        <v>8</v>
      </c>
      <c r="C736">
        <v>2</v>
      </c>
      <c r="D736">
        <v>3</v>
      </c>
      <c r="E736">
        <v>4197.62</v>
      </c>
      <c r="F736">
        <v>4.33</v>
      </c>
      <c r="G736">
        <v>100</v>
      </c>
    </row>
    <row r="737" spans="1:7" ht="14" x14ac:dyDescent="0.3">
      <c r="A737" t="s">
        <v>759</v>
      </c>
      <c r="B737" t="s">
        <v>24</v>
      </c>
      <c r="C737">
        <v>4</v>
      </c>
      <c r="D737">
        <v>6</v>
      </c>
      <c r="E737">
        <v>4195.46</v>
      </c>
      <c r="F737">
        <v>2.5</v>
      </c>
      <c r="G737">
        <v>33.299999999999997</v>
      </c>
    </row>
    <row r="738" spans="1:7" ht="14" x14ac:dyDescent="0.3">
      <c r="A738" t="s">
        <v>760</v>
      </c>
      <c r="B738" t="s">
        <v>8</v>
      </c>
      <c r="C738">
        <v>39</v>
      </c>
      <c r="D738">
        <v>39</v>
      </c>
      <c r="E738">
        <v>4189.5200000000004</v>
      </c>
      <c r="F738">
        <v>4.21</v>
      </c>
      <c r="G738">
        <v>92.3</v>
      </c>
    </row>
    <row r="739" spans="1:7" ht="14" x14ac:dyDescent="0.3">
      <c r="A739" t="s">
        <v>761</v>
      </c>
      <c r="B739" t="s">
        <v>24</v>
      </c>
      <c r="C739">
        <v>31</v>
      </c>
      <c r="D739">
        <v>45</v>
      </c>
      <c r="E739">
        <v>4189.45</v>
      </c>
      <c r="F739">
        <v>3.89</v>
      </c>
      <c r="G739">
        <v>95.6</v>
      </c>
    </row>
    <row r="740" spans="1:7" ht="14" x14ac:dyDescent="0.3">
      <c r="A740" t="s">
        <v>762</v>
      </c>
      <c r="B740" t="s">
        <v>8</v>
      </c>
      <c r="C740">
        <v>2</v>
      </c>
      <c r="D740">
        <v>2</v>
      </c>
      <c r="E740">
        <v>4184.7700000000004</v>
      </c>
      <c r="F740">
        <v>4.5</v>
      </c>
      <c r="G740">
        <v>100</v>
      </c>
    </row>
    <row r="741" spans="1:7" ht="14" x14ac:dyDescent="0.3">
      <c r="A741" t="s">
        <v>763</v>
      </c>
      <c r="B741" t="s">
        <v>8</v>
      </c>
      <c r="C741">
        <v>31</v>
      </c>
      <c r="D741">
        <v>32</v>
      </c>
      <c r="E741">
        <v>4178.82</v>
      </c>
      <c r="F741">
        <v>3.94</v>
      </c>
      <c r="G741">
        <v>96.9</v>
      </c>
    </row>
    <row r="742" spans="1:7" ht="14" x14ac:dyDescent="0.3">
      <c r="A742" t="s">
        <v>764</v>
      </c>
      <c r="B742" t="s">
        <v>8</v>
      </c>
      <c r="C742">
        <v>35</v>
      </c>
      <c r="D742">
        <v>44</v>
      </c>
      <c r="E742">
        <v>4165.54</v>
      </c>
      <c r="F742">
        <v>3.57</v>
      </c>
      <c r="G742">
        <v>93.2</v>
      </c>
    </row>
    <row r="743" spans="1:7" ht="14" x14ac:dyDescent="0.3">
      <c r="A743" t="s">
        <v>765</v>
      </c>
      <c r="B743" t="s">
        <v>8</v>
      </c>
      <c r="C743">
        <v>35</v>
      </c>
      <c r="D743">
        <v>38</v>
      </c>
      <c r="E743">
        <v>4158.6499999999996</v>
      </c>
      <c r="F743">
        <v>3.68</v>
      </c>
      <c r="G743">
        <v>76.3</v>
      </c>
    </row>
    <row r="744" spans="1:7" ht="14" x14ac:dyDescent="0.3">
      <c r="A744" t="s">
        <v>766</v>
      </c>
      <c r="B744" t="s">
        <v>8</v>
      </c>
      <c r="C744">
        <v>7</v>
      </c>
      <c r="D744">
        <v>7</v>
      </c>
      <c r="E744">
        <v>4158.58</v>
      </c>
      <c r="F744">
        <v>4.29</v>
      </c>
      <c r="G744">
        <v>100</v>
      </c>
    </row>
    <row r="745" spans="1:7" ht="14" x14ac:dyDescent="0.3">
      <c r="A745" s="1" t="s">
        <v>767</v>
      </c>
      <c r="B745" t="s">
        <v>8</v>
      </c>
      <c r="C745">
        <v>6</v>
      </c>
      <c r="D745">
        <v>6</v>
      </c>
      <c r="E745">
        <v>4158.43</v>
      </c>
      <c r="F745">
        <v>4</v>
      </c>
      <c r="G745">
        <v>83.3</v>
      </c>
    </row>
    <row r="746" spans="1:7" ht="14" x14ac:dyDescent="0.3">
      <c r="A746" t="s">
        <v>768</v>
      </c>
      <c r="B746" t="s">
        <v>8</v>
      </c>
      <c r="C746">
        <v>69</v>
      </c>
      <c r="D746">
        <v>76</v>
      </c>
      <c r="E746">
        <v>4152.2299999999996</v>
      </c>
      <c r="F746">
        <v>4.34</v>
      </c>
      <c r="G746">
        <v>92.1</v>
      </c>
    </row>
    <row r="747" spans="1:7" ht="14" x14ac:dyDescent="0.3">
      <c r="A747" t="s">
        <v>769</v>
      </c>
      <c r="B747" t="s">
        <v>8</v>
      </c>
      <c r="C747">
        <v>34</v>
      </c>
      <c r="D747">
        <v>35</v>
      </c>
      <c r="E747">
        <v>4151.12</v>
      </c>
      <c r="F747">
        <v>4.2300000000000004</v>
      </c>
      <c r="G747">
        <v>100</v>
      </c>
    </row>
    <row r="748" spans="1:7" ht="14" x14ac:dyDescent="0.3">
      <c r="A748" t="s">
        <v>770</v>
      </c>
      <c r="B748" t="s">
        <v>24</v>
      </c>
      <c r="C748">
        <v>37</v>
      </c>
      <c r="D748">
        <v>38</v>
      </c>
      <c r="E748">
        <v>4136.41</v>
      </c>
      <c r="F748">
        <v>4.58</v>
      </c>
      <c r="G748">
        <v>97.4</v>
      </c>
    </row>
    <row r="749" spans="1:7" ht="14" x14ac:dyDescent="0.3">
      <c r="A749" t="s">
        <v>771</v>
      </c>
      <c r="B749" t="s">
        <v>8</v>
      </c>
      <c r="C749">
        <v>12</v>
      </c>
      <c r="D749">
        <v>12</v>
      </c>
      <c r="E749">
        <v>4131.2700000000004</v>
      </c>
      <c r="F749">
        <v>4.17</v>
      </c>
      <c r="G749">
        <v>91.7</v>
      </c>
    </row>
    <row r="750" spans="1:7" ht="14" x14ac:dyDescent="0.3">
      <c r="A750" t="s">
        <v>772</v>
      </c>
      <c r="B750" t="s">
        <v>8</v>
      </c>
      <c r="C750">
        <v>65</v>
      </c>
      <c r="D750">
        <v>66</v>
      </c>
      <c r="E750">
        <v>4120.71</v>
      </c>
      <c r="F750">
        <v>4.41</v>
      </c>
      <c r="G750">
        <v>87.9</v>
      </c>
    </row>
    <row r="751" spans="1:7" ht="14" x14ac:dyDescent="0.3">
      <c r="A751" t="s">
        <v>773</v>
      </c>
      <c r="B751" t="s">
        <v>8</v>
      </c>
      <c r="C751">
        <v>61</v>
      </c>
      <c r="D751">
        <v>63</v>
      </c>
      <c r="E751">
        <v>4111.1899999999996</v>
      </c>
      <c r="F751">
        <v>4.4400000000000004</v>
      </c>
      <c r="G751">
        <v>100</v>
      </c>
    </row>
    <row r="752" spans="1:7" ht="14" x14ac:dyDescent="0.3">
      <c r="A752" t="s">
        <v>774</v>
      </c>
      <c r="B752" t="s">
        <v>8</v>
      </c>
      <c r="C752">
        <v>28</v>
      </c>
      <c r="D752">
        <v>28</v>
      </c>
      <c r="E752">
        <v>4094.68</v>
      </c>
      <c r="F752">
        <v>4.3600000000000003</v>
      </c>
      <c r="G752">
        <v>89.3</v>
      </c>
    </row>
    <row r="753" spans="1:7" ht="14" x14ac:dyDescent="0.3">
      <c r="A753" t="s">
        <v>775</v>
      </c>
      <c r="B753" t="s">
        <v>152</v>
      </c>
      <c r="C753">
        <v>18</v>
      </c>
      <c r="D753">
        <v>18</v>
      </c>
      <c r="E753">
        <v>4092.21</v>
      </c>
      <c r="F753">
        <v>4.78</v>
      </c>
      <c r="G753">
        <v>100</v>
      </c>
    </row>
    <row r="754" spans="1:7" ht="14" x14ac:dyDescent="0.3">
      <c r="A754" t="s">
        <v>776</v>
      </c>
      <c r="B754" t="s">
        <v>777</v>
      </c>
      <c r="C754">
        <v>19</v>
      </c>
      <c r="D754">
        <v>20</v>
      </c>
      <c r="E754">
        <v>4066.72</v>
      </c>
      <c r="F754">
        <v>4.95</v>
      </c>
      <c r="G754">
        <v>100</v>
      </c>
    </row>
    <row r="755" spans="1:7" ht="14" x14ac:dyDescent="0.3">
      <c r="A755" t="s">
        <v>778</v>
      </c>
      <c r="B755" t="s">
        <v>8</v>
      </c>
      <c r="C755">
        <v>45</v>
      </c>
      <c r="D755">
        <v>47</v>
      </c>
      <c r="E755">
        <v>4059.73</v>
      </c>
      <c r="F755">
        <v>4.3600000000000003</v>
      </c>
      <c r="G755">
        <v>100</v>
      </c>
    </row>
    <row r="756" spans="1:7" ht="14" x14ac:dyDescent="0.3">
      <c r="A756" t="s">
        <v>779</v>
      </c>
      <c r="B756" t="s">
        <v>24</v>
      </c>
      <c r="C756">
        <v>12</v>
      </c>
      <c r="D756">
        <v>13</v>
      </c>
      <c r="E756">
        <v>4058.11</v>
      </c>
      <c r="F756">
        <v>4.54</v>
      </c>
      <c r="G756">
        <v>100</v>
      </c>
    </row>
    <row r="757" spans="1:7" ht="14" x14ac:dyDescent="0.3">
      <c r="A757" t="s">
        <v>780</v>
      </c>
      <c r="B757" t="s">
        <v>87</v>
      </c>
      <c r="C757">
        <v>22</v>
      </c>
      <c r="D757">
        <v>23</v>
      </c>
      <c r="E757">
        <v>4049.36</v>
      </c>
      <c r="F757">
        <v>4.6100000000000003</v>
      </c>
      <c r="G757">
        <v>95.7</v>
      </c>
    </row>
    <row r="758" spans="1:7" ht="14" x14ac:dyDescent="0.3">
      <c r="A758" t="s">
        <v>781</v>
      </c>
      <c r="B758" t="s">
        <v>8</v>
      </c>
      <c r="C758">
        <v>47</v>
      </c>
      <c r="D758">
        <v>55</v>
      </c>
      <c r="E758">
        <v>4044.45</v>
      </c>
      <c r="F758">
        <v>4.33</v>
      </c>
      <c r="G758">
        <v>94.5</v>
      </c>
    </row>
    <row r="759" spans="1:7" ht="14" x14ac:dyDescent="0.3">
      <c r="A759" t="s">
        <v>782</v>
      </c>
      <c r="B759" t="s">
        <v>8</v>
      </c>
      <c r="C759">
        <v>56</v>
      </c>
      <c r="D759">
        <v>58</v>
      </c>
      <c r="E759">
        <v>4012.08</v>
      </c>
      <c r="F759">
        <v>4.18</v>
      </c>
      <c r="G759">
        <v>96.6</v>
      </c>
    </row>
    <row r="760" spans="1:7" ht="14" x14ac:dyDescent="0.3">
      <c r="A760" t="s">
        <v>783</v>
      </c>
      <c r="B760" t="s">
        <v>8</v>
      </c>
      <c r="C760">
        <v>16</v>
      </c>
      <c r="D760">
        <v>16</v>
      </c>
      <c r="E760">
        <v>4009.34</v>
      </c>
      <c r="F760">
        <v>4.75</v>
      </c>
      <c r="G760">
        <v>93.8</v>
      </c>
    </row>
    <row r="761" spans="1:7" ht="14" x14ac:dyDescent="0.3">
      <c r="A761" t="s">
        <v>784</v>
      </c>
      <c r="B761" t="s">
        <v>32</v>
      </c>
      <c r="C761">
        <v>15</v>
      </c>
      <c r="D761">
        <v>15</v>
      </c>
      <c r="E761">
        <v>4005.32</v>
      </c>
      <c r="F761">
        <v>4.67</v>
      </c>
      <c r="G761">
        <v>100</v>
      </c>
    </row>
    <row r="762" spans="1:7" ht="14" x14ac:dyDescent="0.3">
      <c r="A762" t="s">
        <v>785</v>
      </c>
      <c r="B762" t="s">
        <v>32</v>
      </c>
      <c r="C762">
        <v>26</v>
      </c>
      <c r="D762">
        <v>27</v>
      </c>
      <c r="E762">
        <v>3999.89</v>
      </c>
      <c r="F762">
        <v>3.93</v>
      </c>
      <c r="G762">
        <v>92.6</v>
      </c>
    </row>
    <row r="763" spans="1:7" ht="14" x14ac:dyDescent="0.3">
      <c r="A763" t="s">
        <v>786</v>
      </c>
      <c r="B763" t="s">
        <v>8</v>
      </c>
      <c r="C763">
        <v>22</v>
      </c>
      <c r="D763">
        <v>23</v>
      </c>
      <c r="E763">
        <v>3983.27</v>
      </c>
      <c r="F763">
        <v>3.87</v>
      </c>
      <c r="G763">
        <v>91.3</v>
      </c>
    </row>
    <row r="764" spans="1:7" ht="14" x14ac:dyDescent="0.3">
      <c r="A764" t="s">
        <v>787</v>
      </c>
      <c r="B764" t="s">
        <v>32</v>
      </c>
      <c r="C764">
        <v>44</v>
      </c>
      <c r="D764">
        <v>54</v>
      </c>
      <c r="E764">
        <v>3964.73</v>
      </c>
      <c r="F764">
        <v>4.4400000000000004</v>
      </c>
      <c r="G764">
        <v>100</v>
      </c>
    </row>
    <row r="765" spans="1:7" ht="14" x14ac:dyDescent="0.3">
      <c r="A765" t="s">
        <v>788</v>
      </c>
      <c r="B765" t="s">
        <v>24</v>
      </c>
      <c r="C765">
        <v>62</v>
      </c>
      <c r="D765">
        <v>65</v>
      </c>
      <c r="E765">
        <v>3963.29</v>
      </c>
      <c r="F765">
        <v>4.34</v>
      </c>
      <c r="G765">
        <v>96.9</v>
      </c>
    </row>
    <row r="766" spans="1:7" ht="14" x14ac:dyDescent="0.3">
      <c r="A766" t="s">
        <v>789</v>
      </c>
      <c r="B766" t="s">
        <v>32</v>
      </c>
      <c r="C766">
        <v>7</v>
      </c>
      <c r="D766">
        <v>7</v>
      </c>
      <c r="E766">
        <v>3959.13</v>
      </c>
      <c r="F766">
        <v>4.43</v>
      </c>
      <c r="G766">
        <v>100</v>
      </c>
    </row>
    <row r="767" spans="1:7" ht="14" x14ac:dyDescent="0.3">
      <c r="A767" t="s">
        <v>790</v>
      </c>
      <c r="B767" t="s">
        <v>8</v>
      </c>
      <c r="C767">
        <v>11</v>
      </c>
      <c r="D767">
        <v>11</v>
      </c>
      <c r="E767">
        <v>3925.46</v>
      </c>
      <c r="F767">
        <v>3.91</v>
      </c>
      <c r="G767">
        <v>72.7</v>
      </c>
    </row>
    <row r="768" spans="1:7" ht="14" x14ac:dyDescent="0.3">
      <c r="A768" t="s">
        <v>791</v>
      </c>
      <c r="B768" t="s">
        <v>8</v>
      </c>
      <c r="C768">
        <v>21</v>
      </c>
      <c r="D768">
        <v>22</v>
      </c>
      <c r="E768">
        <v>3909.94</v>
      </c>
      <c r="F768">
        <v>4.55</v>
      </c>
      <c r="G768">
        <v>90.9</v>
      </c>
    </row>
    <row r="769" spans="1:7" ht="14" x14ac:dyDescent="0.3">
      <c r="A769" t="s">
        <v>792</v>
      </c>
      <c r="B769" t="s">
        <v>8</v>
      </c>
      <c r="C769">
        <v>12</v>
      </c>
      <c r="D769">
        <v>12</v>
      </c>
      <c r="E769">
        <v>3897.31</v>
      </c>
      <c r="F769">
        <v>4</v>
      </c>
      <c r="G769">
        <v>91.7</v>
      </c>
    </row>
    <row r="770" spans="1:7" ht="14" x14ac:dyDescent="0.3">
      <c r="A770" t="s">
        <v>793</v>
      </c>
      <c r="B770" t="s">
        <v>38</v>
      </c>
      <c r="C770">
        <v>3</v>
      </c>
      <c r="D770">
        <v>3</v>
      </c>
      <c r="E770">
        <v>3873.57</v>
      </c>
      <c r="F770">
        <v>3.67</v>
      </c>
      <c r="G770">
        <v>66.7</v>
      </c>
    </row>
    <row r="771" spans="1:7" ht="14" x14ac:dyDescent="0.3">
      <c r="A771" t="s">
        <v>794</v>
      </c>
      <c r="B771" t="s">
        <v>8</v>
      </c>
      <c r="C771">
        <v>61</v>
      </c>
      <c r="D771">
        <v>73</v>
      </c>
      <c r="E771">
        <v>3863.51</v>
      </c>
      <c r="F771">
        <v>4.08</v>
      </c>
      <c r="G771">
        <v>95.9</v>
      </c>
    </row>
    <row r="772" spans="1:7" ht="14" x14ac:dyDescent="0.3">
      <c r="A772" t="s">
        <v>795</v>
      </c>
      <c r="B772" t="s">
        <v>8</v>
      </c>
      <c r="C772">
        <v>28</v>
      </c>
      <c r="D772">
        <v>29</v>
      </c>
      <c r="E772">
        <v>3861.53</v>
      </c>
      <c r="F772">
        <v>4.66</v>
      </c>
      <c r="G772">
        <v>100</v>
      </c>
    </row>
    <row r="773" spans="1:7" ht="14" x14ac:dyDescent="0.3">
      <c r="A773" t="s">
        <v>796</v>
      </c>
      <c r="B773" t="s">
        <v>8</v>
      </c>
      <c r="C773">
        <v>2</v>
      </c>
      <c r="D773">
        <v>8</v>
      </c>
      <c r="E773">
        <v>3859.56</v>
      </c>
      <c r="F773">
        <v>2.5</v>
      </c>
      <c r="G773">
        <v>100</v>
      </c>
    </row>
    <row r="774" spans="1:7" ht="14" x14ac:dyDescent="0.3">
      <c r="A774" t="s">
        <v>797</v>
      </c>
      <c r="B774" t="s">
        <v>8</v>
      </c>
      <c r="C774">
        <v>48</v>
      </c>
      <c r="D774">
        <v>50</v>
      </c>
      <c r="E774">
        <v>3857.17</v>
      </c>
      <c r="F774">
        <v>3.55</v>
      </c>
      <c r="G774">
        <v>100</v>
      </c>
    </row>
    <row r="775" spans="1:7" ht="14" x14ac:dyDescent="0.3">
      <c r="A775" t="s">
        <v>798</v>
      </c>
      <c r="B775" t="s">
        <v>8</v>
      </c>
      <c r="C775">
        <v>69</v>
      </c>
      <c r="D775">
        <v>73</v>
      </c>
      <c r="E775">
        <v>3856.34</v>
      </c>
      <c r="F775">
        <v>3.86</v>
      </c>
      <c r="G775">
        <v>93.2</v>
      </c>
    </row>
    <row r="776" spans="1:7" ht="14" x14ac:dyDescent="0.3">
      <c r="A776" t="s">
        <v>799</v>
      </c>
      <c r="B776" t="s">
        <v>800</v>
      </c>
      <c r="C776">
        <v>6</v>
      </c>
      <c r="D776">
        <v>6</v>
      </c>
      <c r="E776">
        <v>3853.85</v>
      </c>
      <c r="F776">
        <v>3.83</v>
      </c>
      <c r="G776">
        <v>100</v>
      </c>
    </row>
    <row r="777" spans="1:7" ht="14" x14ac:dyDescent="0.3">
      <c r="A777" t="s">
        <v>801</v>
      </c>
      <c r="B777" t="s">
        <v>8</v>
      </c>
      <c r="C777">
        <v>25</v>
      </c>
      <c r="D777">
        <v>27</v>
      </c>
      <c r="E777">
        <v>3843.11</v>
      </c>
      <c r="F777">
        <v>3.89</v>
      </c>
      <c r="G777">
        <v>85.2</v>
      </c>
    </row>
    <row r="778" spans="1:7" ht="14" x14ac:dyDescent="0.3">
      <c r="A778" t="s">
        <v>802</v>
      </c>
      <c r="B778" t="s">
        <v>32</v>
      </c>
      <c r="C778">
        <v>11</v>
      </c>
      <c r="D778">
        <v>11</v>
      </c>
      <c r="E778">
        <v>3835.7</v>
      </c>
      <c r="F778">
        <v>4.3600000000000003</v>
      </c>
      <c r="G778">
        <v>90.9</v>
      </c>
    </row>
    <row r="779" spans="1:7" ht="14" x14ac:dyDescent="0.3">
      <c r="A779" t="s">
        <v>803</v>
      </c>
      <c r="B779" t="s">
        <v>32</v>
      </c>
      <c r="C779">
        <v>25</v>
      </c>
      <c r="D779">
        <v>25</v>
      </c>
      <c r="E779">
        <v>3832.73</v>
      </c>
      <c r="F779">
        <v>4.4800000000000004</v>
      </c>
      <c r="G779">
        <v>100</v>
      </c>
    </row>
    <row r="780" spans="1:7" ht="14" x14ac:dyDescent="0.3">
      <c r="A780" t="s">
        <v>804</v>
      </c>
      <c r="B780" t="s">
        <v>8</v>
      </c>
      <c r="C780">
        <v>14</v>
      </c>
      <c r="D780">
        <v>17</v>
      </c>
      <c r="E780">
        <v>3819.54</v>
      </c>
      <c r="F780">
        <v>3.53</v>
      </c>
      <c r="G780">
        <v>88.2</v>
      </c>
    </row>
    <row r="781" spans="1:7" ht="14" x14ac:dyDescent="0.3">
      <c r="A781" t="s">
        <v>805</v>
      </c>
      <c r="B781" t="s">
        <v>8</v>
      </c>
      <c r="C781">
        <v>9</v>
      </c>
      <c r="D781">
        <v>30</v>
      </c>
      <c r="E781">
        <v>3813.18</v>
      </c>
      <c r="F781">
        <v>4.7</v>
      </c>
      <c r="G781">
        <v>100</v>
      </c>
    </row>
    <row r="782" spans="1:7" ht="14" x14ac:dyDescent="0.3">
      <c r="A782" t="s">
        <v>806</v>
      </c>
      <c r="B782" t="s">
        <v>8</v>
      </c>
      <c r="C782">
        <v>62</v>
      </c>
      <c r="D782">
        <v>78</v>
      </c>
      <c r="E782">
        <v>3803.46</v>
      </c>
      <c r="F782">
        <v>4.43</v>
      </c>
      <c r="G782">
        <v>97.4</v>
      </c>
    </row>
    <row r="783" spans="1:7" ht="14" x14ac:dyDescent="0.3">
      <c r="A783" t="s">
        <v>807</v>
      </c>
      <c r="B783" t="s">
        <v>8</v>
      </c>
      <c r="C783">
        <v>30</v>
      </c>
      <c r="D783">
        <v>36</v>
      </c>
      <c r="E783">
        <v>3800.79</v>
      </c>
      <c r="F783">
        <v>3.97</v>
      </c>
      <c r="G783">
        <v>97.2</v>
      </c>
    </row>
    <row r="784" spans="1:7" ht="14" x14ac:dyDescent="0.3">
      <c r="A784" t="s">
        <v>808</v>
      </c>
      <c r="B784" t="s">
        <v>8</v>
      </c>
      <c r="C784">
        <v>23</v>
      </c>
      <c r="D784">
        <v>27</v>
      </c>
      <c r="E784">
        <v>3794.87</v>
      </c>
      <c r="F784">
        <v>3.81</v>
      </c>
      <c r="G784">
        <v>85.2</v>
      </c>
    </row>
    <row r="785" spans="1:7" ht="14" x14ac:dyDescent="0.3">
      <c r="A785" t="s">
        <v>809</v>
      </c>
      <c r="B785" t="s">
        <v>22</v>
      </c>
      <c r="C785">
        <v>24</v>
      </c>
      <c r="D785">
        <v>25</v>
      </c>
      <c r="E785">
        <v>3791.81</v>
      </c>
      <c r="F785">
        <v>3.88</v>
      </c>
      <c r="G785">
        <v>96</v>
      </c>
    </row>
    <row r="786" spans="1:7" ht="14" x14ac:dyDescent="0.3">
      <c r="A786" t="s">
        <v>810</v>
      </c>
      <c r="B786" t="s">
        <v>8</v>
      </c>
      <c r="C786">
        <v>63</v>
      </c>
      <c r="D786">
        <v>78</v>
      </c>
      <c r="E786">
        <v>3772.27</v>
      </c>
      <c r="F786">
        <v>4.18</v>
      </c>
      <c r="G786">
        <v>94.9</v>
      </c>
    </row>
    <row r="787" spans="1:7" ht="14" x14ac:dyDescent="0.3">
      <c r="A787" t="s">
        <v>811</v>
      </c>
      <c r="B787" t="s">
        <v>8</v>
      </c>
      <c r="C787">
        <v>42</v>
      </c>
      <c r="D787">
        <v>43</v>
      </c>
      <c r="E787">
        <v>3762.65</v>
      </c>
      <c r="F787">
        <v>3.74</v>
      </c>
      <c r="G787">
        <v>90.7</v>
      </c>
    </row>
    <row r="788" spans="1:7" ht="14" x14ac:dyDescent="0.3">
      <c r="A788" t="s">
        <v>812</v>
      </c>
      <c r="B788" t="s">
        <v>8</v>
      </c>
      <c r="C788">
        <v>4</v>
      </c>
      <c r="D788">
        <v>4</v>
      </c>
      <c r="E788">
        <v>3762.08</v>
      </c>
      <c r="F788">
        <v>4.25</v>
      </c>
      <c r="G788">
        <v>100</v>
      </c>
    </row>
    <row r="789" spans="1:7" ht="14" x14ac:dyDescent="0.3">
      <c r="A789" t="s">
        <v>813</v>
      </c>
      <c r="B789" t="s">
        <v>42</v>
      </c>
      <c r="C789">
        <v>18</v>
      </c>
      <c r="D789">
        <v>19</v>
      </c>
      <c r="E789">
        <v>3757.78</v>
      </c>
      <c r="F789">
        <v>4.32</v>
      </c>
      <c r="G789">
        <v>89.5</v>
      </c>
    </row>
    <row r="790" spans="1:7" ht="14" x14ac:dyDescent="0.3">
      <c r="A790" t="s">
        <v>814</v>
      </c>
      <c r="B790" t="s">
        <v>24</v>
      </c>
      <c r="C790">
        <v>17</v>
      </c>
      <c r="D790">
        <v>17</v>
      </c>
      <c r="E790">
        <v>3736.53</v>
      </c>
      <c r="F790">
        <v>4.3499999999999996</v>
      </c>
      <c r="G790">
        <v>100</v>
      </c>
    </row>
    <row r="791" spans="1:7" ht="14" x14ac:dyDescent="0.3">
      <c r="A791" t="s">
        <v>815</v>
      </c>
      <c r="B791" t="s">
        <v>87</v>
      </c>
      <c r="C791">
        <v>38</v>
      </c>
      <c r="D791">
        <v>38</v>
      </c>
      <c r="E791">
        <v>3734.36</v>
      </c>
      <c r="F791">
        <v>4.53</v>
      </c>
      <c r="G791">
        <v>100</v>
      </c>
    </row>
    <row r="792" spans="1:7" ht="14" x14ac:dyDescent="0.3">
      <c r="A792" t="s">
        <v>816</v>
      </c>
      <c r="B792" t="s">
        <v>22</v>
      </c>
      <c r="C792">
        <v>9</v>
      </c>
      <c r="D792">
        <v>9</v>
      </c>
      <c r="E792">
        <v>3729.14</v>
      </c>
      <c r="F792">
        <v>4.22</v>
      </c>
      <c r="G792">
        <v>100</v>
      </c>
    </row>
    <row r="793" spans="1:7" ht="14" x14ac:dyDescent="0.3">
      <c r="A793" t="s">
        <v>817</v>
      </c>
      <c r="B793" t="s">
        <v>548</v>
      </c>
      <c r="C793">
        <v>14</v>
      </c>
      <c r="D793">
        <v>14</v>
      </c>
      <c r="E793">
        <v>3710.64</v>
      </c>
      <c r="F793">
        <v>4.79</v>
      </c>
      <c r="G793">
        <v>100</v>
      </c>
    </row>
    <row r="794" spans="1:7" ht="14" x14ac:dyDescent="0.3">
      <c r="A794" t="s">
        <v>818</v>
      </c>
      <c r="B794" t="s">
        <v>8</v>
      </c>
      <c r="C794">
        <v>14</v>
      </c>
      <c r="D794">
        <v>15</v>
      </c>
      <c r="E794">
        <v>3706.5</v>
      </c>
      <c r="F794">
        <v>4.13</v>
      </c>
      <c r="G794">
        <v>86.7</v>
      </c>
    </row>
    <row r="795" spans="1:7" ht="14" x14ac:dyDescent="0.3">
      <c r="A795" t="s">
        <v>819</v>
      </c>
      <c r="B795" t="s">
        <v>42</v>
      </c>
      <c r="C795">
        <v>4</v>
      </c>
      <c r="D795">
        <v>4</v>
      </c>
      <c r="E795">
        <v>3686.68</v>
      </c>
      <c r="F795">
        <v>4</v>
      </c>
      <c r="G795">
        <v>100</v>
      </c>
    </row>
    <row r="796" spans="1:7" ht="14" x14ac:dyDescent="0.3">
      <c r="A796" t="s">
        <v>820</v>
      </c>
      <c r="B796" t="s">
        <v>24</v>
      </c>
      <c r="C796">
        <v>31</v>
      </c>
      <c r="D796">
        <v>32</v>
      </c>
      <c r="E796">
        <v>3661.68</v>
      </c>
      <c r="F796">
        <v>4.5</v>
      </c>
      <c r="G796">
        <v>100</v>
      </c>
    </row>
    <row r="797" spans="1:7" ht="14" x14ac:dyDescent="0.3">
      <c r="A797" t="s">
        <v>821</v>
      </c>
      <c r="B797" t="s">
        <v>8</v>
      </c>
      <c r="C797">
        <v>24</v>
      </c>
      <c r="D797">
        <v>25</v>
      </c>
      <c r="E797">
        <v>3636.15</v>
      </c>
      <c r="F797">
        <v>3.88</v>
      </c>
      <c r="G797">
        <v>88</v>
      </c>
    </row>
    <row r="798" spans="1:7" ht="14" x14ac:dyDescent="0.3">
      <c r="A798" t="s">
        <v>822</v>
      </c>
      <c r="B798" t="s">
        <v>8</v>
      </c>
      <c r="C798">
        <v>26</v>
      </c>
      <c r="D798">
        <v>28</v>
      </c>
      <c r="E798">
        <v>3630.03</v>
      </c>
      <c r="F798">
        <v>4.07</v>
      </c>
      <c r="G798">
        <v>92.9</v>
      </c>
    </row>
    <row r="799" spans="1:7" ht="14" x14ac:dyDescent="0.3">
      <c r="A799" t="s">
        <v>823</v>
      </c>
      <c r="B799" t="s">
        <v>87</v>
      </c>
      <c r="C799">
        <v>9</v>
      </c>
      <c r="D799">
        <v>9</v>
      </c>
      <c r="E799">
        <v>3628.17</v>
      </c>
      <c r="F799">
        <v>3.89</v>
      </c>
      <c r="G799">
        <v>100</v>
      </c>
    </row>
    <row r="800" spans="1:7" ht="14" x14ac:dyDescent="0.3">
      <c r="A800" t="s">
        <v>824</v>
      </c>
      <c r="B800" t="s">
        <v>22</v>
      </c>
      <c r="C800">
        <v>6</v>
      </c>
      <c r="D800">
        <v>6</v>
      </c>
      <c r="E800">
        <v>3626.5</v>
      </c>
      <c r="F800">
        <v>4.17</v>
      </c>
      <c r="G800">
        <v>100</v>
      </c>
    </row>
    <row r="801" spans="1:7" ht="14" x14ac:dyDescent="0.3">
      <c r="A801" t="s">
        <v>825</v>
      </c>
      <c r="B801" t="s">
        <v>8</v>
      </c>
      <c r="C801">
        <v>33</v>
      </c>
      <c r="D801">
        <v>33</v>
      </c>
      <c r="E801">
        <v>3624.01</v>
      </c>
      <c r="F801">
        <v>4</v>
      </c>
      <c r="G801">
        <v>84.8</v>
      </c>
    </row>
    <row r="802" spans="1:7" ht="14" x14ac:dyDescent="0.3">
      <c r="A802" t="s">
        <v>826</v>
      </c>
      <c r="B802" t="s">
        <v>8</v>
      </c>
      <c r="C802">
        <v>23</v>
      </c>
      <c r="D802">
        <v>24</v>
      </c>
      <c r="E802">
        <v>3621.92</v>
      </c>
      <c r="F802">
        <v>3.92</v>
      </c>
      <c r="G802">
        <v>91.7</v>
      </c>
    </row>
    <row r="803" spans="1:7" ht="14" x14ac:dyDescent="0.3">
      <c r="A803" t="s">
        <v>827</v>
      </c>
      <c r="B803" t="s">
        <v>8</v>
      </c>
      <c r="C803">
        <v>6</v>
      </c>
      <c r="D803">
        <v>7</v>
      </c>
      <c r="E803">
        <v>3615.27</v>
      </c>
      <c r="F803">
        <v>4.8600000000000003</v>
      </c>
      <c r="G803">
        <v>100</v>
      </c>
    </row>
    <row r="804" spans="1:7" ht="14" x14ac:dyDescent="0.3">
      <c r="A804" t="s">
        <v>828</v>
      </c>
      <c r="B804" t="s">
        <v>152</v>
      </c>
      <c r="C804">
        <v>44</v>
      </c>
      <c r="D804">
        <v>55</v>
      </c>
      <c r="E804">
        <v>3614.8</v>
      </c>
      <c r="F804">
        <v>4.29</v>
      </c>
      <c r="G804">
        <v>85.5</v>
      </c>
    </row>
    <row r="805" spans="1:7" ht="14" x14ac:dyDescent="0.3">
      <c r="A805" t="s">
        <v>829</v>
      </c>
      <c r="B805" t="s">
        <v>8</v>
      </c>
      <c r="C805">
        <v>48</v>
      </c>
      <c r="D805">
        <v>50</v>
      </c>
      <c r="E805">
        <v>3608.67</v>
      </c>
      <c r="F805">
        <v>4.22</v>
      </c>
      <c r="G805">
        <v>96</v>
      </c>
    </row>
    <row r="806" spans="1:7" ht="14" x14ac:dyDescent="0.3">
      <c r="A806" s="1" t="s">
        <v>830</v>
      </c>
      <c r="B806" t="s">
        <v>24</v>
      </c>
      <c r="C806">
        <v>12</v>
      </c>
      <c r="D806">
        <v>13</v>
      </c>
      <c r="E806">
        <v>3606.09</v>
      </c>
      <c r="F806">
        <v>4.7699999999999996</v>
      </c>
      <c r="G806">
        <v>100</v>
      </c>
    </row>
    <row r="807" spans="1:7" ht="14" x14ac:dyDescent="0.3">
      <c r="A807" t="s">
        <v>831</v>
      </c>
      <c r="B807" t="s">
        <v>8</v>
      </c>
      <c r="C807">
        <v>16</v>
      </c>
      <c r="D807">
        <v>17</v>
      </c>
      <c r="E807">
        <v>3603.58</v>
      </c>
      <c r="F807">
        <v>4.0599999999999996</v>
      </c>
      <c r="G807">
        <v>88.2</v>
      </c>
    </row>
    <row r="808" spans="1:7" ht="14" x14ac:dyDescent="0.3">
      <c r="A808" t="s">
        <v>832</v>
      </c>
      <c r="B808" t="s">
        <v>24</v>
      </c>
      <c r="C808">
        <v>1</v>
      </c>
      <c r="D808">
        <v>1</v>
      </c>
      <c r="E808">
        <v>3602.47</v>
      </c>
      <c r="F808">
        <v>5</v>
      </c>
      <c r="G808">
        <v>100</v>
      </c>
    </row>
    <row r="809" spans="1:7" ht="14" x14ac:dyDescent="0.3">
      <c r="A809" t="s">
        <v>833</v>
      </c>
      <c r="B809" t="s">
        <v>8</v>
      </c>
      <c r="C809">
        <v>31</v>
      </c>
      <c r="D809">
        <v>34</v>
      </c>
      <c r="E809">
        <v>3598.13</v>
      </c>
      <c r="F809">
        <v>4.21</v>
      </c>
      <c r="G809">
        <v>91.2</v>
      </c>
    </row>
    <row r="810" spans="1:7" ht="14" x14ac:dyDescent="0.3">
      <c r="A810" t="s">
        <v>834</v>
      </c>
      <c r="B810" t="s">
        <v>8</v>
      </c>
      <c r="C810">
        <v>61</v>
      </c>
      <c r="D810">
        <v>64</v>
      </c>
      <c r="E810">
        <v>3579.59</v>
      </c>
      <c r="F810">
        <v>4.53</v>
      </c>
      <c r="G810">
        <v>96.9</v>
      </c>
    </row>
    <row r="811" spans="1:7" ht="14" x14ac:dyDescent="0.3">
      <c r="A811" t="s">
        <v>835</v>
      </c>
      <c r="B811" t="s">
        <v>8</v>
      </c>
      <c r="C811">
        <v>50</v>
      </c>
      <c r="D811">
        <v>51</v>
      </c>
      <c r="E811">
        <v>3574.44</v>
      </c>
      <c r="F811">
        <v>4.0599999999999996</v>
      </c>
      <c r="G811">
        <v>88.2</v>
      </c>
    </row>
    <row r="812" spans="1:7" ht="14" x14ac:dyDescent="0.3">
      <c r="A812" t="s">
        <v>836</v>
      </c>
      <c r="B812" t="s">
        <v>32</v>
      </c>
      <c r="C812">
        <v>6</v>
      </c>
      <c r="D812">
        <v>7</v>
      </c>
      <c r="E812">
        <v>3574.06</v>
      </c>
      <c r="F812">
        <v>3.86</v>
      </c>
      <c r="G812">
        <v>100</v>
      </c>
    </row>
    <row r="813" spans="1:7" ht="14" x14ac:dyDescent="0.3">
      <c r="A813" t="s">
        <v>837</v>
      </c>
      <c r="B813" t="s">
        <v>8</v>
      </c>
      <c r="C813">
        <v>40</v>
      </c>
      <c r="D813">
        <v>54</v>
      </c>
      <c r="E813">
        <v>3557.21</v>
      </c>
      <c r="F813">
        <v>4.3499999999999996</v>
      </c>
      <c r="G813">
        <v>96.3</v>
      </c>
    </row>
    <row r="814" spans="1:7" ht="14" x14ac:dyDescent="0.3">
      <c r="A814" t="s">
        <v>838</v>
      </c>
      <c r="B814" t="s">
        <v>24</v>
      </c>
      <c r="C814">
        <v>12</v>
      </c>
      <c r="D814">
        <v>14</v>
      </c>
      <c r="E814">
        <v>3548.95</v>
      </c>
      <c r="F814">
        <v>3.79</v>
      </c>
      <c r="G814">
        <v>100</v>
      </c>
    </row>
    <row r="815" spans="1:7" ht="14" x14ac:dyDescent="0.3">
      <c r="A815" t="s">
        <v>839</v>
      </c>
      <c r="B815" t="s">
        <v>8</v>
      </c>
      <c r="C815">
        <v>4</v>
      </c>
      <c r="D815">
        <v>4</v>
      </c>
      <c r="E815">
        <v>3548.1</v>
      </c>
      <c r="F815">
        <v>4.5</v>
      </c>
      <c r="G815">
        <v>75</v>
      </c>
    </row>
    <row r="816" spans="1:7" ht="14" x14ac:dyDescent="0.3">
      <c r="A816" t="s">
        <v>840</v>
      </c>
      <c r="B816" t="s">
        <v>8</v>
      </c>
      <c r="C816">
        <v>51</v>
      </c>
      <c r="D816">
        <v>61</v>
      </c>
      <c r="E816">
        <v>3529.52</v>
      </c>
      <c r="F816">
        <v>3.92</v>
      </c>
      <c r="G816">
        <v>88.5</v>
      </c>
    </row>
    <row r="817" spans="1:7" ht="14" x14ac:dyDescent="0.3">
      <c r="A817" t="s">
        <v>841</v>
      </c>
      <c r="B817" t="s">
        <v>8</v>
      </c>
      <c r="C817">
        <v>26</v>
      </c>
      <c r="D817">
        <v>26</v>
      </c>
      <c r="E817">
        <v>3501.69</v>
      </c>
      <c r="F817">
        <v>4</v>
      </c>
      <c r="G817">
        <v>92.3</v>
      </c>
    </row>
    <row r="818" spans="1:7" ht="14" x14ac:dyDescent="0.3">
      <c r="A818" t="s">
        <v>842</v>
      </c>
      <c r="B818" t="s">
        <v>8</v>
      </c>
      <c r="C818">
        <v>40</v>
      </c>
      <c r="D818">
        <v>47</v>
      </c>
      <c r="E818">
        <v>3488.55</v>
      </c>
      <c r="F818">
        <v>4.34</v>
      </c>
      <c r="G818">
        <v>93.6</v>
      </c>
    </row>
    <row r="819" spans="1:7" ht="14" x14ac:dyDescent="0.3">
      <c r="A819" t="s">
        <v>843</v>
      </c>
      <c r="B819" t="s">
        <v>87</v>
      </c>
      <c r="C819">
        <v>11</v>
      </c>
      <c r="D819">
        <v>11</v>
      </c>
      <c r="E819">
        <v>3471.31</v>
      </c>
      <c r="F819">
        <v>4.2699999999999996</v>
      </c>
      <c r="G819">
        <v>81.8</v>
      </c>
    </row>
    <row r="820" spans="1:7" ht="14" x14ac:dyDescent="0.3">
      <c r="A820" t="s">
        <v>844</v>
      </c>
      <c r="B820" t="s">
        <v>8</v>
      </c>
      <c r="C820">
        <v>28</v>
      </c>
      <c r="D820">
        <v>36</v>
      </c>
      <c r="E820">
        <v>3466.43</v>
      </c>
      <c r="F820">
        <v>4.63</v>
      </c>
      <c r="G820">
        <v>97.2</v>
      </c>
    </row>
    <row r="821" spans="1:7" ht="14" x14ac:dyDescent="0.3">
      <c r="A821" t="s">
        <v>845</v>
      </c>
      <c r="B821" t="s">
        <v>8</v>
      </c>
      <c r="C821">
        <v>4</v>
      </c>
      <c r="D821">
        <v>11</v>
      </c>
      <c r="E821">
        <v>3452.63</v>
      </c>
      <c r="F821">
        <v>3.18</v>
      </c>
      <c r="G821">
        <v>54.5</v>
      </c>
    </row>
    <row r="822" spans="1:7" ht="14" x14ac:dyDescent="0.3">
      <c r="A822" t="s">
        <v>846</v>
      </c>
      <c r="B822" t="s">
        <v>24</v>
      </c>
      <c r="C822">
        <v>48</v>
      </c>
      <c r="D822">
        <v>51</v>
      </c>
      <c r="E822">
        <v>3424.77</v>
      </c>
      <c r="F822">
        <v>3.04</v>
      </c>
      <c r="G822">
        <v>70.599999999999994</v>
      </c>
    </row>
    <row r="823" spans="1:7" ht="14" x14ac:dyDescent="0.3">
      <c r="A823" t="s">
        <v>847</v>
      </c>
      <c r="B823" t="s">
        <v>8</v>
      </c>
      <c r="C823">
        <v>22</v>
      </c>
      <c r="D823">
        <v>22</v>
      </c>
      <c r="E823">
        <v>3420.45</v>
      </c>
      <c r="F823">
        <v>3.77</v>
      </c>
      <c r="G823">
        <v>95.5</v>
      </c>
    </row>
    <row r="824" spans="1:7" ht="14" x14ac:dyDescent="0.3">
      <c r="A824" t="s">
        <v>848</v>
      </c>
      <c r="B824" t="s">
        <v>42</v>
      </c>
      <c r="C824">
        <v>40</v>
      </c>
      <c r="D824">
        <v>44</v>
      </c>
      <c r="E824">
        <v>3416.69</v>
      </c>
      <c r="F824">
        <v>3.73</v>
      </c>
      <c r="G824">
        <v>93.2</v>
      </c>
    </row>
    <row r="825" spans="1:7" ht="14" x14ac:dyDescent="0.3">
      <c r="A825" t="s">
        <v>849</v>
      </c>
      <c r="B825" t="s">
        <v>8</v>
      </c>
      <c r="C825">
        <v>19</v>
      </c>
      <c r="D825">
        <v>20</v>
      </c>
      <c r="E825">
        <v>3414.56</v>
      </c>
      <c r="F825">
        <v>4</v>
      </c>
      <c r="G825">
        <v>95</v>
      </c>
    </row>
    <row r="826" spans="1:7" ht="14" x14ac:dyDescent="0.3">
      <c r="A826" t="s">
        <v>850</v>
      </c>
      <c r="B826" t="s">
        <v>8</v>
      </c>
      <c r="C826">
        <v>12</v>
      </c>
      <c r="D826">
        <v>14</v>
      </c>
      <c r="E826">
        <v>3413.52</v>
      </c>
      <c r="F826">
        <v>4.43</v>
      </c>
      <c r="G826">
        <v>85.7</v>
      </c>
    </row>
    <row r="827" spans="1:7" ht="14" x14ac:dyDescent="0.3">
      <c r="A827" t="s">
        <v>851</v>
      </c>
      <c r="B827" t="s">
        <v>24</v>
      </c>
      <c r="C827">
        <v>17</v>
      </c>
      <c r="D827">
        <v>21</v>
      </c>
      <c r="E827">
        <v>3409.38</v>
      </c>
      <c r="F827">
        <v>2.33</v>
      </c>
      <c r="G827">
        <v>81</v>
      </c>
    </row>
    <row r="828" spans="1:7" ht="14" x14ac:dyDescent="0.3">
      <c r="A828" t="s">
        <v>852</v>
      </c>
      <c r="B828" t="s">
        <v>32</v>
      </c>
      <c r="C828">
        <v>36</v>
      </c>
      <c r="D828">
        <v>38</v>
      </c>
      <c r="E828">
        <v>3385.21</v>
      </c>
      <c r="F828">
        <v>4.32</v>
      </c>
      <c r="G828">
        <v>100</v>
      </c>
    </row>
    <row r="829" spans="1:7" ht="14" x14ac:dyDescent="0.3">
      <c r="A829" t="s">
        <v>853</v>
      </c>
      <c r="B829" t="s">
        <v>42</v>
      </c>
      <c r="C829">
        <v>17</v>
      </c>
      <c r="D829">
        <v>21</v>
      </c>
      <c r="E829">
        <v>3373.13</v>
      </c>
      <c r="F829">
        <v>4.5199999999999996</v>
      </c>
      <c r="G829">
        <v>95.2</v>
      </c>
    </row>
    <row r="830" spans="1:7" ht="14" x14ac:dyDescent="0.3">
      <c r="A830" t="s">
        <v>854</v>
      </c>
      <c r="B830" t="s">
        <v>32</v>
      </c>
      <c r="C830">
        <v>59</v>
      </c>
      <c r="D830">
        <v>77</v>
      </c>
      <c r="E830">
        <v>3360.79</v>
      </c>
      <c r="F830">
        <v>4.24</v>
      </c>
      <c r="G830">
        <v>96.1</v>
      </c>
    </row>
    <row r="831" spans="1:7" ht="14" x14ac:dyDescent="0.3">
      <c r="A831" t="s">
        <v>855</v>
      </c>
      <c r="B831" t="s">
        <v>22</v>
      </c>
      <c r="C831">
        <v>7</v>
      </c>
      <c r="D831">
        <v>9</v>
      </c>
      <c r="E831">
        <v>3350.29</v>
      </c>
      <c r="F831">
        <v>2.56</v>
      </c>
      <c r="G831">
        <v>66.7</v>
      </c>
    </row>
    <row r="832" spans="1:7" ht="14" x14ac:dyDescent="0.3">
      <c r="A832" t="s">
        <v>856</v>
      </c>
      <c r="B832" t="s">
        <v>418</v>
      </c>
      <c r="C832">
        <v>26</v>
      </c>
      <c r="D832">
        <v>27</v>
      </c>
      <c r="E832">
        <v>3347.25</v>
      </c>
      <c r="F832">
        <v>4.59</v>
      </c>
      <c r="G832">
        <v>92.6</v>
      </c>
    </row>
    <row r="833" spans="1:7" ht="14" x14ac:dyDescent="0.3">
      <c r="A833" t="s">
        <v>857</v>
      </c>
      <c r="B833" t="s">
        <v>8</v>
      </c>
      <c r="C833">
        <v>39</v>
      </c>
      <c r="D833">
        <v>43</v>
      </c>
      <c r="E833">
        <v>3336.18</v>
      </c>
      <c r="F833">
        <v>3.86</v>
      </c>
      <c r="G833">
        <v>90.7</v>
      </c>
    </row>
    <row r="834" spans="1:7" ht="14" x14ac:dyDescent="0.3">
      <c r="A834" t="s">
        <v>858</v>
      </c>
      <c r="B834" t="s">
        <v>8</v>
      </c>
      <c r="C834">
        <v>36</v>
      </c>
      <c r="D834">
        <v>38</v>
      </c>
      <c r="E834">
        <v>3329.36</v>
      </c>
      <c r="F834">
        <v>4.58</v>
      </c>
      <c r="G834">
        <v>100</v>
      </c>
    </row>
    <row r="835" spans="1:7" ht="14" x14ac:dyDescent="0.3">
      <c r="A835" t="s">
        <v>859</v>
      </c>
      <c r="B835" t="s">
        <v>8</v>
      </c>
      <c r="C835">
        <v>69</v>
      </c>
      <c r="D835">
        <v>76</v>
      </c>
      <c r="E835">
        <v>3316.17</v>
      </c>
      <c r="F835">
        <v>4.3600000000000003</v>
      </c>
      <c r="G835">
        <v>89.5</v>
      </c>
    </row>
    <row r="836" spans="1:7" ht="14" x14ac:dyDescent="0.3">
      <c r="A836" t="s">
        <v>860</v>
      </c>
      <c r="B836" t="s">
        <v>8</v>
      </c>
      <c r="C836">
        <v>2</v>
      </c>
      <c r="D836">
        <v>11</v>
      </c>
      <c r="E836">
        <v>3312.45</v>
      </c>
      <c r="F836">
        <v>5</v>
      </c>
      <c r="G836">
        <v>100</v>
      </c>
    </row>
    <row r="837" spans="1:7" ht="14" x14ac:dyDescent="0.3">
      <c r="A837" t="s">
        <v>861</v>
      </c>
      <c r="B837" t="s">
        <v>8</v>
      </c>
      <c r="C837">
        <v>21</v>
      </c>
      <c r="D837">
        <v>21</v>
      </c>
      <c r="E837">
        <v>3302.99</v>
      </c>
      <c r="F837">
        <v>4</v>
      </c>
      <c r="G837">
        <v>85.7</v>
      </c>
    </row>
    <row r="838" spans="1:7" ht="14" x14ac:dyDescent="0.3">
      <c r="A838" t="s">
        <v>862</v>
      </c>
      <c r="B838" t="s">
        <v>8</v>
      </c>
      <c r="C838">
        <v>35</v>
      </c>
      <c r="D838">
        <v>36</v>
      </c>
      <c r="E838">
        <v>3295.89</v>
      </c>
      <c r="F838">
        <v>3.97</v>
      </c>
      <c r="G838">
        <v>80.599999999999994</v>
      </c>
    </row>
    <row r="839" spans="1:7" ht="14" x14ac:dyDescent="0.3">
      <c r="A839" t="s">
        <v>863</v>
      </c>
      <c r="B839" t="s">
        <v>32</v>
      </c>
      <c r="C839">
        <v>31</v>
      </c>
      <c r="D839">
        <v>32</v>
      </c>
      <c r="E839">
        <v>3287.98</v>
      </c>
      <c r="F839">
        <v>4.13</v>
      </c>
      <c r="G839">
        <v>96.9</v>
      </c>
    </row>
    <row r="840" spans="1:7" ht="14" x14ac:dyDescent="0.3">
      <c r="A840" t="s">
        <v>864</v>
      </c>
      <c r="B840" t="s">
        <v>8</v>
      </c>
      <c r="C840">
        <v>43</v>
      </c>
      <c r="D840">
        <v>52</v>
      </c>
      <c r="E840">
        <v>3287.85</v>
      </c>
      <c r="F840">
        <v>3.73</v>
      </c>
      <c r="G840">
        <v>96.2</v>
      </c>
    </row>
    <row r="841" spans="1:7" ht="14" x14ac:dyDescent="0.3">
      <c r="A841" t="s">
        <v>865</v>
      </c>
      <c r="B841" t="s">
        <v>8</v>
      </c>
      <c r="C841">
        <v>13</v>
      </c>
      <c r="D841">
        <v>14</v>
      </c>
      <c r="E841">
        <v>3287.04</v>
      </c>
      <c r="F841">
        <v>4.3600000000000003</v>
      </c>
      <c r="G841">
        <v>100</v>
      </c>
    </row>
    <row r="842" spans="1:7" ht="14" x14ac:dyDescent="0.3">
      <c r="A842" t="s">
        <v>866</v>
      </c>
      <c r="B842" t="s">
        <v>8</v>
      </c>
      <c r="C842">
        <v>22</v>
      </c>
      <c r="D842">
        <v>26</v>
      </c>
      <c r="E842">
        <v>3277.17</v>
      </c>
      <c r="F842">
        <v>4.42</v>
      </c>
      <c r="G842">
        <v>96.2</v>
      </c>
    </row>
    <row r="843" spans="1:7" ht="14" x14ac:dyDescent="0.3">
      <c r="A843" t="s">
        <v>867</v>
      </c>
      <c r="B843" t="s">
        <v>8</v>
      </c>
      <c r="C843">
        <v>19</v>
      </c>
      <c r="D843">
        <v>22</v>
      </c>
      <c r="E843">
        <v>3272.35</v>
      </c>
      <c r="F843">
        <v>3.45</v>
      </c>
      <c r="G843">
        <v>81.8</v>
      </c>
    </row>
    <row r="844" spans="1:7" ht="14" x14ac:dyDescent="0.3">
      <c r="A844" t="s">
        <v>868</v>
      </c>
      <c r="B844" t="s">
        <v>32</v>
      </c>
      <c r="C844">
        <v>22</v>
      </c>
      <c r="D844">
        <v>25</v>
      </c>
      <c r="E844">
        <v>3251.5</v>
      </c>
      <c r="F844">
        <v>3.88</v>
      </c>
      <c r="G844">
        <v>96</v>
      </c>
    </row>
    <row r="845" spans="1:7" ht="14" x14ac:dyDescent="0.3">
      <c r="A845" t="s">
        <v>869</v>
      </c>
      <c r="B845" t="s">
        <v>8</v>
      </c>
      <c r="C845">
        <v>17</v>
      </c>
      <c r="D845">
        <v>17</v>
      </c>
      <c r="E845">
        <v>3247.09</v>
      </c>
      <c r="F845">
        <v>4.76</v>
      </c>
      <c r="G845">
        <v>100</v>
      </c>
    </row>
    <row r="846" spans="1:7" ht="14" x14ac:dyDescent="0.3">
      <c r="A846" t="s">
        <v>870</v>
      </c>
      <c r="B846" t="s">
        <v>24</v>
      </c>
      <c r="C846">
        <v>21</v>
      </c>
      <c r="D846">
        <v>24</v>
      </c>
      <c r="E846">
        <v>3236.93</v>
      </c>
      <c r="F846">
        <v>3.63</v>
      </c>
      <c r="G846">
        <v>95.8</v>
      </c>
    </row>
    <row r="847" spans="1:7" ht="14" x14ac:dyDescent="0.3">
      <c r="A847" t="s">
        <v>871</v>
      </c>
      <c r="B847" t="s">
        <v>8</v>
      </c>
      <c r="C847">
        <v>9</v>
      </c>
      <c r="D847">
        <v>12</v>
      </c>
      <c r="E847">
        <v>3231.86</v>
      </c>
      <c r="F847">
        <v>4.17</v>
      </c>
      <c r="G847">
        <v>100</v>
      </c>
    </row>
    <row r="848" spans="1:7" ht="14" x14ac:dyDescent="0.3">
      <c r="A848" t="s">
        <v>872</v>
      </c>
      <c r="B848" t="s">
        <v>32</v>
      </c>
      <c r="C848">
        <v>12</v>
      </c>
      <c r="D848">
        <v>14</v>
      </c>
      <c r="E848">
        <v>3229.52</v>
      </c>
      <c r="F848">
        <v>4.21</v>
      </c>
      <c r="G848">
        <v>100</v>
      </c>
    </row>
    <row r="849" spans="1:7" ht="14" x14ac:dyDescent="0.3">
      <c r="A849" t="s">
        <v>873</v>
      </c>
      <c r="B849" t="s">
        <v>8</v>
      </c>
      <c r="C849">
        <v>46</v>
      </c>
      <c r="D849">
        <v>50</v>
      </c>
      <c r="E849">
        <v>3225.1</v>
      </c>
      <c r="F849">
        <v>4.2</v>
      </c>
      <c r="G849">
        <v>98</v>
      </c>
    </row>
    <row r="850" spans="1:7" ht="14" x14ac:dyDescent="0.3">
      <c r="A850" t="s">
        <v>874</v>
      </c>
      <c r="B850" t="s">
        <v>8</v>
      </c>
      <c r="C850">
        <v>5</v>
      </c>
      <c r="D850">
        <v>5</v>
      </c>
      <c r="E850">
        <v>3221.53</v>
      </c>
      <c r="F850">
        <v>4.8</v>
      </c>
      <c r="G850">
        <v>100</v>
      </c>
    </row>
    <row r="851" spans="1:7" ht="14" x14ac:dyDescent="0.3">
      <c r="A851" s="1" t="s">
        <v>875</v>
      </c>
      <c r="B851" t="s">
        <v>24</v>
      </c>
      <c r="C851">
        <v>12</v>
      </c>
      <c r="D851">
        <v>13</v>
      </c>
      <c r="E851">
        <v>3220.89</v>
      </c>
      <c r="F851">
        <v>4.1500000000000004</v>
      </c>
      <c r="G851">
        <v>100</v>
      </c>
    </row>
    <row r="852" spans="1:7" ht="14" x14ac:dyDescent="0.3">
      <c r="A852" t="s">
        <v>876</v>
      </c>
      <c r="B852" t="s">
        <v>8</v>
      </c>
      <c r="C852">
        <v>4</v>
      </c>
      <c r="D852">
        <v>4</v>
      </c>
      <c r="E852">
        <v>3216.31</v>
      </c>
      <c r="F852">
        <v>4.5</v>
      </c>
      <c r="G852">
        <v>100</v>
      </c>
    </row>
    <row r="853" spans="1:7" ht="14" x14ac:dyDescent="0.3">
      <c r="A853" t="s">
        <v>877</v>
      </c>
      <c r="B853" t="s">
        <v>8</v>
      </c>
      <c r="C853">
        <v>11</v>
      </c>
      <c r="D853">
        <v>18</v>
      </c>
      <c r="E853">
        <v>3213.79</v>
      </c>
      <c r="F853">
        <v>4.1100000000000003</v>
      </c>
      <c r="G853">
        <v>100</v>
      </c>
    </row>
    <row r="854" spans="1:7" ht="14" x14ac:dyDescent="0.3">
      <c r="A854" t="s">
        <v>878</v>
      </c>
      <c r="B854" t="s">
        <v>87</v>
      </c>
      <c r="C854">
        <v>37</v>
      </c>
      <c r="D854">
        <v>44</v>
      </c>
      <c r="E854">
        <v>3210.39</v>
      </c>
      <c r="F854">
        <v>4.6100000000000003</v>
      </c>
      <c r="G854">
        <v>100</v>
      </c>
    </row>
    <row r="855" spans="1:7" ht="14" x14ac:dyDescent="0.3">
      <c r="A855" t="s">
        <v>879</v>
      </c>
      <c r="B855" t="s">
        <v>309</v>
      </c>
      <c r="C855">
        <v>20</v>
      </c>
      <c r="D855">
        <v>26</v>
      </c>
      <c r="E855">
        <v>3210.39</v>
      </c>
      <c r="F855">
        <v>4.1500000000000004</v>
      </c>
      <c r="G855">
        <v>100</v>
      </c>
    </row>
    <row r="856" spans="1:7" ht="14" x14ac:dyDescent="0.3">
      <c r="A856" t="s">
        <v>880</v>
      </c>
      <c r="B856" t="s">
        <v>8</v>
      </c>
      <c r="C856">
        <v>21</v>
      </c>
      <c r="D856">
        <v>21</v>
      </c>
      <c r="E856">
        <v>3198.93</v>
      </c>
      <c r="F856">
        <v>4.33</v>
      </c>
      <c r="G856">
        <v>100</v>
      </c>
    </row>
    <row r="857" spans="1:7" ht="14" x14ac:dyDescent="0.3">
      <c r="A857" t="s">
        <v>881</v>
      </c>
      <c r="B857" t="s">
        <v>22</v>
      </c>
      <c r="C857">
        <v>9</v>
      </c>
      <c r="D857">
        <v>10</v>
      </c>
      <c r="E857">
        <v>3195.67</v>
      </c>
      <c r="F857">
        <v>4.5999999999999996</v>
      </c>
      <c r="G857">
        <v>100</v>
      </c>
    </row>
    <row r="858" spans="1:7" ht="14" x14ac:dyDescent="0.3">
      <c r="A858" t="s">
        <v>882</v>
      </c>
      <c r="B858" t="s">
        <v>8</v>
      </c>
      <c r="C858">
        <v>30</v>
      </c>
      <c r="D858">
        <v>30</v>
      </c>
      <c r="E858">
        <v>3191.9</v>
      </c>
      <c r="F858">
        <v>4.17</v>
      </c>
      <c r="G858">
        <v>96.7</v>
      </c>
    </row>
    <row r="859" spans="1:7" ht="14" x14ac:dyDescent="0.3">
      <c r="A859" t="s">
        <v>883</v>
      </c>
      <c r="B859" t="s">
        <v>8</v>
      </c>
      <c r="C859">
        <v>10</v>
      </c>
      <c r="D859">
        <v>10</v>
      </c>
      <c r="E859">
        <v>3188.24</v>
      </c>
      <c r="F859">
        <v>4.9000000000000004</v>
      </c>
      <c r="G859">
        <v>100</v>
      </c>
    </row>
    <row r="860" spans="1:7" ht="14" x14ac:dyDescent="0.3">
      <c r="A860" t="s">
        <v>884</v>
      </c>
      <c r="B860" t="s">
        <v>8</v>
      </c>
      <c r="C860">
        <v>56</v>
      </c>
      <c r="D860">
        <v>73</v>
      </c>
      <c r="E860">
        <v>3163.56</v>
      </c>
      <c r="F860">
        <v>3.88</v>
      </c>
      <c r="G860">
        <v>94.5</v>
      </c>
    </row>
    <row r="861" spans="1:7" ht="14" x14ac:dyDescent="0.3">
      <c r="A861" t="s">
        <v>885</v>
      </c>
      <c r="B861" t="s">
        <v>32</v>
      </c>
      <c r="C861">
        <v>2</v>
      </c>
      <c r="D861">
        <v>3</v>
      </c>
      <c r="E861">
        <v>3162.15</v>
      </c>
      <c r="F861">
        <v>4.33</v>
      </c>
      <c r="G861">
        <v>100</v>
      </c>
    </row>
    <row r="862" spans="1:7" ht="14" x14ac:dyDescent="0.3">
      <c r="A862" s="1" t="s">
        <v>886</v>
      </c>
      <c r="B862" t="s">
        <v>8</v>
      </c>
      <c r="C862">
        <v>5</v>
      </c>
      <c r="D862">
        <v>10</v>
      </c>
      <c r="E862">
        <v>3155.76</v>
      </c>
      <c r="F862">
        <v>4.5</v>
      </c>
      <c r="G862">
        <v>90</v>
      </c>
    </row>
    <row r="863" spans="1:7" ht="14" x14ac:dyDescent="0.3">
      <c r="A863" t="s">
        <v>887</v>
      </c>
      <c r="B863" t="s">
        <v>24</v>
      </c>
      <c r="C863">
        <v>14</v>
      </c>
      <c r="D863">
        <v>16</v>
      </c>
      <c r="E863">
        <v>3135.23</v>
      </c>
      <c r="F863">
        <v>4.25</v>
      </c>
      <c r="G863">
        <v>93.8</v>
      </c>
    </row>
    <row r="864" spans="1:7" ht="14" x14ac:dyDescent="0.3">
      <c r="A864" t="s">
        <v>888</v>
      </c>
      <c r="B864" t="s">
        <v>8</v>
      </c>
      <c r="C864">
        <v>19</v>
      </c>
      <c r="D864">
        <v>21</v>
      </c>
      <c r="E864">
        <v>3134.98</v>
      </c>
      <c r="F864">
        <v>4.71</v>
      </c>
      <c r="G864">
        <v>100</v>
      </c>
    </row>
    <row r="865" spans="1:7" ht="14" x14ac:dyDescent="0.3">
      <c r="A865" t="s">
        <v>889</v>
      </c>
      <c r="B865" t="s">
        <v>24</v>
      </c>
      <c r="C865">
        <v>15</v>
      </c>
      <c r="D865">
        <v>16</v>
      </c>
      <c r="E865">
        <v>3133.12</v>
      </c>
      <c r="F865">
        <v>3.81</v>
      </c>
      <c r="G865">
        <v>93.8</v>
      </c>
    </row>
    <row r="866" spans="1:7" ht="14" x14ac:dyDescent="0.3">
      <c r="A866" t="s">
        <v>890</v>
      </c>
      <c r="B866" t="s">
        <v>8</v>
      </c>
      <c r="C866">
        <v>23</v>
      </c>
      <c r="D866">
        <v>31</v>
      </c>
      <c r="E866">
        <v>3131.82</v>
      </c>
      <c r="F866">
        <v>3.97</v>
      </c>
      <c r="G866">
        <v>93.5</v>
      </c>
    </row>
    <row r="867" spans="1:7" ht="14" x14ac:dyDescent="0.3">
      <c r="A867" t="s">
        <v>891</v>
      </c>
      <c r="B867" t="s">
        <v>32</v>
      </c>
      <c r="C867">
        <v>12</v>
      </c>
      <c r="D867">
        <v>16</v>
      </c>
      <c r="E867">
        <v>3115.6</v>
      </c>
      <c r="F867">
        <v>4.0599999999999996</v>
      </c>
      <c r="G867">
        <v>87.5</v>
      </c>
    </row>
    <row r="868" spans="1:7" ht="14" x14ac:dyDescent="0.3">
      <c r="A868" t="s">
        <v>892</v>
      </c>
      <c r="B868" t="s">
        <v>777</v>
      </c>
      <c r="C868">
        <v>17</v>
      </c>
      <c r="D868">
        <v>17</v>
      </c>
      <c r="E868">
        <v>3108.83</v>
      </c>
      <c r="F868">
        <v>4.13</v>
      </c>
      <c r="G868">
        <v>82.4</v>
      </c>
    </row>
    <row r="869" spans="1:7" ht="14" x14ac:dyDescent="0.3">
      <c r="A869" t="s">
        <v>893</v>
      </c>
      <c r="B869" t="s">
        <v>8</v>
      </c>
      <c r="C869">
        <v>10</v>
      </c>
      <c r="D869">
        <v>11</v>
      </c>
      <c r="E869">
        <v>3078.9</v>
      </c>
      <c r="F869">
        <v>3.64</v>
      </c>
      <c r="G869">
        <v>81.8</v>
      </c>
    </row>
    <row r="870" spans="1:7" ht="14" x14ac:dyDescent="0.3">
      <c r="A870" t="s">
        <v>894</v>
      </c>
      <c r="B870" t="s">
        <v>32</v>
      </c>
      <c r="C870">
        <v>15</v>
      </c>
      <c r="D870">
        <v>15</v>
      </c>
      <c r="E870">
        <v>3078.77</v>
      </c>
      <c r="F870">
        <v>4.13</v>
      </c>
      <c r="G870">
        <v>93.3</v>
      </c>
    </row>
    <row r="871" spans="1:7" ht="14" x14ac:dyDescent="0.3">
      <c r="A871" t="s">
        <v>895</v>
      </c>
      <c r="B871" t="s">
        <v>8</v>
      </c>
      <c r="C871">
        <v>27</v>
      </c>
      <c r="D871">
        <v>29</v>
      </c>
      <c r="E871">
        <v>3072.14</v>
      </c>
      <c r="F871">
        <v>4.24</v>
      </c>
      <c r="G871">
        <v>100</v>
      </c>
    </row>
    <row r="872" spans="1:7" ht="14" x14ac:dyDescent="0.3">
      <c r="A872" t="s">
        <v>896</v>
      </c>
      <c r="B872" t="s">
        <v>38</v>
      </c>
      <c r="C872">
        <v>6</v>
      </c>
      <c r="D872">
        <v>6</v>
      </c>
      <c r="E872">
        <v>3068.85</v>
      </c>
      <c r="F872">
        <v>4.17</v>
      </c>
      <c r="G872">
        <v>83.3</v>
      </c>
    </row>
    <row r="873" spans="1:7" ht="14" x14ac:dyDescent="0.3">
      <c r="A873" t="s">
        <v>897</v>
      </c>
      <c r="B873" t="s">
        <v>8</v>
      </c>
      <c r="C873">
        <v>9</v>
      </c>
      <c r="D873">
        <v>9</v>
      </c>
      <c r="E873">
        <v>3067.41</v>
      </c>
      <c r="F873">
        <v>3.89</v>
      </c>
      <c r="G873">
        <v>66.7</v>
      </c>
    </row>
    <row r="874" spans="1:7" ht="14" x14ac:dyDescent="0.3">
      <c r="A874" t="s">
        <v>898</v>
      </c>
      <c r="B874" t="s">
        <v>8</v>
      </c>
      <c r="C874">
        <v>11</v>
      </c>
      <c r="D874">
        <v>23</v>
      </c>
      <c r="E874">
        <v>3064.33</v>
      </c>
      <c r="F874">
        <v>3.3</v>
      </c>
      <c r="G874">
        <v>87</v>
      </c>
    </row>
    <row r="875" spans="1:7" ht="14" x14ac:dyDescent="0.3">
      <c r="A875" t="s">
        <v>899</v>
      </c>
      <c r="B875" t="s">
        <v>8</v>
      </c>
      <c r="C875">
        <v>43</v>
      </c>
      <c r="D875">
        <v>47</v>
      </c>
      <c r="E875">
        <v>3060.45</v>
      </c>
      <c r="F875">
        <v>3.67</v>
      </c>
      <c r="G875">
        <v>68.099999999999994</v>
      </c>
    </row>
    <row r="876" spans="1:7" ht="14" x14ac:dyDescent="0.3">
      <c r="A876" t="s">
        <v>900</v>
      </c>
      <c r="B876" t="s">
        <v>8</v>
      </c>
      <c r="C876">
        <v>26</v>
      </c>
      <c r="D876">
        <v>26</v>
      </c>
      <c r="E876">
        <v>3051.29</v>
      </c>
      <c r="F876">
        <v>4.38</v>
      </c>
      <c r="G876">
        <v>96.2</v>
      </c>
    </row>
    <row r="877" spans="1:7" ht="14" x14ac:dyDescent="0.3">
      <c r="A877" t="s">
        <v>901</v>
      </c>
      <c r="B877" t="s">
        <v>8</v>
      </c>
      <c r="C877">
        <v>16</v>
      </c>
      <c r="D877">
        <v>22</v>
      </c>
      <c r="E877">
        <v>3049.29</v>
      </c>
      <c r="F877">
        <v>4.3600000000000003</v>
      </c>
      <c r="G877">
        <v>90.9</v>
      </c>
    </row>
    <row r="878" spans="1:7" ht="14" x14ac:dyDescent="0.3">
      <c r="A878" t="s">
        <v>902</v>
      </c>
      <c r="B878" t="s">
        <v>22</v>
      </c>
      <c r="C878">
        <v>10</v>
      </c>
      <c r="D878">
        <v>10</v>
      </c>
      <c r="E878">
        <v>3047.61</v>
      </c>
      <c r="F878">
        <v>4.5</v>
      </c>
      <c r="G878">
        <v>90</v>
      </c>
    </row>
    <row r="879" spans="1:7" ht="14" x14ac:dyDescent="0.3">
      <c r="A879" t="s">
        <v>903</v>
      </c>
      <c r="B879" t="s">
        <v>24</v>
      </c>
      <c r="C879">
        <v>30</v>
      </c>
      <c r="D879">
        <v>31</v>
      </c>
      <c r="E879">
        <v>3039.04</v>
      </c>
      <c r="F879">
        <v>3.94</v>
      </c>
      <c r="G879">
        <v>93.5</v>
      </c>
    </row>
    <row r="880" spans="1:7" ht="14" x14ac:dyDescent="0.3">
      <c r="A880" t="s">
        <v>904</v>
      </c>
      <c r="B880" t="s">
        <v>8</v>
      </c>
      <c r="C880">
        <v>53</v>
      </c>
      <c r="D880">
        <v>53</v>
      </c>
      <c r="E880">
        <v>3037.31</v>
      </c>
      <c r="F880">
        <v>4.42</v>
      </c>
      <c r="G880">
        <v>100</v>
      </c>
    </row>
    <row r="881" spans="1:7" ht="14" x14ac:dyDescent="0.3">
      <c r="A881" t="s">
        <v>905</v>
      </c>
      <c r="B881" t="s">
        <v>32</v>
      </c>
      <c r="C881">
        <v>2</v>
      </c>
      <c r="D881">
        <v>2</v>
      </c>
      <c r="E881">
        <v>3023.31</v>
      </c>
      <c r="F881">
        <v>5</v>
      </c>
      <c r="G881">
        <v>100</v>
      </c>
    </row>
    <row r="882" spans="1:7" ht="14" x14ac:dyDescent="0.3">
      <c r="A882" t="s">
        <v>906</v>
      </c>
      <c r="B882" t="s">
        <v>8</v>
      </c>
      <c r="C882">
        <v>5</v>
      </c>
      <c r="D882">
        <v>5</v>
      </c>
      <c r="E882">
        <v>3018.86</v>
      </c>
      <c r="F882">
        <v>4.8</v>
      </c>
      <c r="G882">
        <v>100</v>
      </c>
    </row>
    <row r="883" spans="1:7" ht="14" x14ac:dyDescent="0.3">
      <c r="A883" t="s">
        <v>907</v>
      </c>
      <c r="B883" t="s">
        <v>32</v>
      </c>
      <c r="C883">
        <v>17</v>
      </c>
      <c r="D883">
        <v>17</v>
      </c>
      <c r="E883">
        <v>3017.38</v>
      </c>
      <c r="F883">
        <v>3.94</v>
      </c>
      <c r="G883">
        <v>100</v>
      </c>
    </row>
    <row r="884" spans="1:7" ht="14" x14ac:dyDescent="0.3">
      <c r="A884" t="s">
        <v>908</v>
      </c>
      <c r="B884" t="s">
        <v>8</v>
      </c>
      <c r="C884">
        <v>1</v>
      </c>
      <c r="D884">
        <v>1</v>
      </c>
      <c r="E884">
        <v>3009.53</v>
      </c>
      <c r="F884">
        <v>4</v>
      </c>
      <c r="G884">
        <v>100</v>
      </c>
    </row>
    <row r="885" spans="1:7" ht="14" x14ac:dyDescent="0.3">
      <c r="A885" t="s">
        <v>909</v>
      </c>
      <c r="B885" t="s">
        <v>24</v>
      </c>
      <c r="C885">
        <v>17</v>
      </c>
      <c r="D885">
        <v>19</v>
      </c>
      <c r="E885">
        <v>2999.64</v>
      </c>
      <c r="F885">
        <v>4.1100000000000003</v>
      </c>
      <c r="G885">
        <v>100</v>
      </c>
    </row>
    <row r="886" spans="1:7" ht="14" x14ac:dyDescent="0.3">
      <c r="A886" t="s">
        <v>910</v>
      </c>
      <c r="B886" t="s">
        <v>8</v>
      </c>
      <c r="C886">
        <v>40</v>
      </c>
      <c r="D886">
        <v>42</v>
      </c>
      <c r="E886">
        <v>2995.42</v>
      </c>
      <c r="F886">
        <v>3.95</v>
      </c>
      <c r="G886">
        <v>95.2</v>
      </c>
    </row>
    <row r="887" spans="1:7" ht="14" x14ac:dyDescent="0.3">
      <c r="A887" t="s">
        <v>911</v>
      </c>
      <c r="B887" t="s">
        <v>22</v>
      </c>
      <c r="C887">
        <v>13</v>
      </c>
      <c r="D887">
        <v>14</v>
      </c>
      <c r="E887">
        <v>2988.68</v>
      </c>
      <c r="F887">
        <v>4.43</v>
      </c>
      <c r="G887">
        <v>85.7</v>
      </c>
    </row>
    <row r="888" spans="1:7" ht="14" x14ac:dyDescent="0.3">
      <c r="A888" t="s">
        <v>912</v>
      </c>
      <c r="B888" t="s">
        <v>42</v>
      </c>
      <c r="C888">
        <v>13</v>
      </c>
      <c r="D888">
        <v>13</v>
      </c>
      <c r="E888">
        <v>2987.2</v>
      </c>
      <c r="F888">
        <v>3.92</v>
      </c>
      <c r="G888">
        <v>76.900000000000006</v>
      </c>
    </row>
    <row r="889" spans="1:7" ht="14" x14ac:dyDescent="0.3">
      <c r="A889" t="s">
        <v>913</v>
      </c>
      <c r="B889" t="s">
        <v>32</v>
      </c>
      <c r="C889">
        <v>7</v>
      </c>
      <c r="D889">
        <v>7</v>
      </c>
      <c r="E889">
        <v>2986.87</v>
      </c>
      <c r="F889">
        <v>4.43</v>
      </c>
      <c r="G889">
        <v>100</v>
      </c>
    </row>
    <row r="890" spans="1:7" ht="14" x14ac:dyDescent="0.3">
      <c r="A890" t="s">
        <v>914</v>
      </c>
      <c r="B890" t="s">
        <v>22</v>
      </c>
      <c r="C890">
        <v>30</v>
      </c>
      <c r="D890">
        <v>38</v>
      </c>
      <c r="E890">
        <v>2984.58</v>
      </c>
      <c r="F890">
        <v>4.24</v>
      </c>
      <c r="G890">
        <v>84.2</v>
      </c>
    </row>
    <row r="891" spans="1:7" ht="14" x14ac:dyDescent="0.3">
      <c r="A891" t="s">
        <v>915</v>
      </c>
      <c r="B891" t="s">
        <v>8</v>
      </c>
      <c r="C891">
        <v>7</v>
      </c>
      <c r="D891">
        <v>7</v>
      </c>
      <c r="E891">
        <v>2971.55</v>
      </c>
      <c r="F891">
        <v>4.43</v>
      </c>
      <c r="G891">
        <v>85.7</v>
      </c>
    </row>
    <row r="892" spans="1:7" ht="14" x14ac:dyDescent="0.3">
      <c r="A892" t="s">
        <v>916</v>
      </c>
      <c r="B892" t="s">
        <v>8</v>
      </c>
      <c r="C892">
        <v>8</v>
      </c>
      <c r="D892">
        <v>10</v>
      </c>
      <c r="E892">
        <v>2959.28</v>
      </c>
      <c r="F892">
        <v>2.7</v>
      </c>
      <c r="G892">
        <v>90</v>
      </c>
    </row>
    <row r="893" spans="1:7" ht="14" x14ac:dyDescent="0.3">
      <c r="A893" t="s">
        <v>917</v>
      </c>
      <c r="B893" t="s">
        <v>32</v>
      </c>
      <c r="C893">
        <v>27</v>
      </c>
      <c r="D893">
        <v>33</v>
      </c>
      <c r="E893">
        <v>2958.79</v>
      </c>
      <c r="F893">
        <v>4.5599999999999996</v>
      </c>
      <c r="G893">
        <v>100</v>
      </c>
    </row>
    <row r="894" spans="1:7" ht="14" x14ac:dyDescent="0.3">
      <c r="A894" t="s">
        <v>918</v>
      </c>
      <c r="B894" t="s">
        <v>8</v>
      </c>
      <c r="C894">
        <v>18</v>
      </c>
      <c r="D894">
        <v>20</v>
      </c>
      <c r="E894">
        <v>2954.21</v>
      </c>
      <c r="F894">
        <v>3.95</v>
      </c>
      <c r="G894">
        <v>100</v>
      </c>
    </row>
    <row r="895" spans="1:7" ht="14" x14ac:dyDescent="0.3">
      <c r="A895" t="s">
        <v>919</v>
      </c>
      <c r="B895" t="s">
        <v>8</v>
      </c>
      <c r="C895">
        <v>38</v>
      </c>
      <c r="D895">
        <v>43</v>
      </c>
      <c r="E895">
        <v>2952.22</v>
      </c>
      <c r="F895">
        <v>4.8099999999999996</v>
      </c>
      <c r="G895">
        <v>97.7</v>
      </c>
    </row>
    <row r="896" spans="1:7" ht="14" x14ac:dyDescent="0.3">
      <c r="A896" t="s">
        <v>920</v>
      </c>
      <c r="B896" t="s">
        <v>8</v>
      </c>
      <c r="C896">
        <v>61</v>
      </c>
      <c r="D896">
        <v>73</v>
      </c>
      <c r="E896">
        <v>2948.33</v>
      </c>
      <c r="F896">
        <v>4.5999999999999996</v>
      </c>
      <c r="G896">
        <v>97.3</v>
      </c>
    </row>
    <row r="897" spans="1:7" ht="14" x14ac:dyDescent="0.3">
      <c r="A897" t="s">
        <v>921</v>
      </c>
      <c r="B897" t="s">
        <v>42</v>
      </c>
      <c r="C897">
        <v>19</v>
      </c>
      <c r="D897">
        <v>23</v>
      </c>
      <c r="E897">
        <v>2945</v>
      </c>
      <c r="F897">
        <v>3.87</v>
      </c>
      <c r="G897">
        <v>100</v>
      </c>
    </row>
    <row r="898" spans="1:7" ht="14" x14ac:dyDescent="0.3">
      <c r="A898" t="s">
        <v>922</v>
      </c>
      <c r="B898" t="s">
        <v>8</v>
      </c>
      <c r="C898">
        <v>40</v>
      </c>
      <c r="D898">
        <v>41</v>
      </c>
      <c r="E898">
        <v>2941.91</v>
      </c>
      <c r="F898">
        <v>4.37</v>
      </c>
      <c r="G898">
        <v>97.6</v>
      </c>
    </row>
    <row r="899" spans="1:7" ht="14" x14ac:dyDescent="0.3">
      <c r="A899" t="s">
        <v>923</v>
      </c>
      <c r="B899" t="s">
        <v>8</v>
      </c>
      <c r="C899">
        <v>52</v>
      </c>
      <c r="D899">
        <v>57</v>
      </c>
      <c r="E899">
        <v>2937.84</v>
      </c>
      <c r="F899">
        <v>4.13</v>
      </c>
      <c r="G899">
        <v>93</v>
      </c>
    </row>
    <row r="900" spans="1:7" ht="14" x14ac:dyDescent="0.3">
      <c r="A900" t="s">
        <v>924</v>
      </c>
      <c r="B900" t="s">
        <v>8</v>
      </c>
      <c r="C900">
        <v>11</v>
      </c>
      <c r="D900">
        <v>11</v>
      </c>
      <c r="E900">
        <v>2930.17</v>
      </c>
      <c r="F900">
        <v>3.82</v>
      </c>
      <c r="G900">
        <v>90.9</v>
      </c>
    </row>
    <row r="901" spans="1:7" ht="14" x14ac:dyDescent="0.3">
      <c r="A901" t="s">
        <v>925</v>
      </c>
      <c r="B901" t="s">
        <v>8</v>
      </c>
      <c r="C901">
        <v>13</v>
      </c>
      <c r="D901">
        <v>15</v>
      </c>
      <c r="E901">
        <v>2926.53</v>
      </c>
      <c r="F901">
        <v>4.2</v>
      </c>
      <c r="G901">
        <v>86.7</v>
      </c>
    </row>
    <row r="902" spans="1:7" ht="14" x14ac:dyDescent="0.3">
      <c r="A902" t="s">
        <v>926</v>
      </c>
      <c r="B902" t="s">
        <v>8</v>
      </c>
      <c r="C902">
        <v>29</v>
      </c>
      <c r="D902">
        <v>30</v>
      </c>
      <c r="E902">
        <v>2925.34</v>
      </c>
      <c r="F902">
        <v>4.63</v>
      </c>
      <c r="G902">
        <v>93.3</v>
      </c>
    </row>
    <row r="903" spans="1:7" ht="14" x14ac:dyDescent="0.3">
      <c r="A903" t="s">
        <v>927</v>
      </c>
      <c r="B903" t="s">
        <v>8</v>
      </c>
      <c r="C903">
        <v>12</v>
      </c>
      <c r="D903">
        <v>15</v>
      </c>
      <c r="E903">
        <v>2917.37</v>
      </c>
      <c r="F903">
        <v>4.5999999999999996</v>
      </c>
      <c r="G903">
        <v>100</v>
      </c>
    </row>
    <row r="904" spans="1:7" ht="14" x14ac:dyDescent="0.3">
      <c r="A904" t="s">
        <v>928</v>
      </c>
      <c r="B904" t="s">
        <v>8</v>
      </c>
      <c r="C904">
        <v>5</v>
      </c>
      <c r="D904">
        <v>5</v>
      </c>
      <c r="E904">
        <v>2914.72</v>
      </c>
      <c r="F904">
        <v>4</v>
      </c>
      <c r="G904">
        <v>100</v>
      </c>
    </row>
    <row r="905" spans="1:7" ht="14" x14ac:dyDescent="0.3">
      <c r="A905" t="s">
        <v>929</v>
      </c>
      <c r="B905" t="s">
        <v>8</v>
      </c>
      <c r="C905">
        <v>33</v>
      </c>
      <c r="D905">
        <v>37</v>
      </c>
      <c r="E905">
        <v>2893.37</v>
      </c>
      <c r="F905">
        <v>3.32</v>
      </c>
      <c r="G905">
        <v>86.5</v>
      </c>
    </row>
    <row r="906" spans="1:7" ht="14" x14ac:dyDescent="0.3">
      <c r="A906" t="s">
        <v>930</v>
      </c>
      <c r="B906" t="s">
        <v>24</v>
      </c>
      <c r="C906">
        <v>12</v>
      </c>
      <c r="D906">
        <v>13</v>
      </c>
      <c r="E906">
        <v>2874.22</v>
      </c>
      <c r="F906">
        <v>4.2300000000000004</v>
      </c>
      <c r="G906">
        <v>100</v>
      </c>
    </row>
    <row r="907" spans="1:7" ht="14" x14ac:dyDescent="0.3">
      <c r="A907" t="s">
        <v>931</v>
      </c>
      <c r="B907" t="s">
        <v>8</v>
      </c>
      <c r="C907">
        <v>16</v>
      </c>
      <c r="D907">
        <v>36</v>
      </c>
      <c r="E907">
        <v>2865.47</v>
      </c>
      <c r="F907">
        <v>3.65</v>
      </c>
      <c r="G907">
        <v>88.9</v>
      </c>
    </row>
    <row r="908" spans="1:7" ht="14" x14ac:dyDescent="0.3">
      <c r="A908" t="s">
        <v>932</v>
      </c>
      <c r="B908" t="s">
        <v>8</v>
      </c>
      <c r="C908">
        <v>10</v>
      </c>
      <c r="D908">
        <v>15</v>
      </c>
      <c r="E908">
        <v>2848.32</v>
      </c>
      <c r="F908">
        <v>3.93</v>
      </c>
      <c r="G908">
        <v>80</v>
      </c>
    </row>
    <row r="909" spans="1:7" ht="14" x14ac:dyDescent="0.3">
      <c r="A909" t="s">
        <v>933</v>
      </c>
      <c r="B909" t="s">
        <v>8</v>
      </c>
      <c r="C909">
        <v>16</v>
      </c>
      <c r="D909">
        <v>17</v>
      </c>
      <c r="E909">
        <v>2846.64</v>
      </c>
      <c r="F909">
        <v>4.24</v>
      </c>
      <c r="G909">
        <v>100</v>
      </c>
    </row>
    <row r="910" spans="1:7" ht="14" x14ac:dyDescent="0.3">
      <c r="A910" t="s">
        <v>934</v>
      </c>
      <c r="B910" t="s">
        <v>42</v>
      </c>
      <c r="C910">
        <v>10</v>
      </c>
      <c r="D910">
        <v>10</v>
      </c>
      <c r="E910">
        <v>2845.12</v>
      </c>
      <c r="F910">
        <v>4.4000000000000004</v>
      </c>
      <c r="G910">
        <v>100</v>
      </c>
    </row>
    <row r="911" spans="1:7" ht="14" x14ac:dyDescent="0.3">
      <c r="A911" t="s">
        <v>935</v>
      </c>
      <c r="B911" t="s">
        <v>8</v>
      </c>
      <c r="C911">
        <v>21</v>
      </c>
      <c r="D911">
        <v>22</v>
      </c>
      <c r="E911">
        <v>2839.42</v>
      </c>
      <c r="F911">
        <v>4.55</v>
      </c>
      <c r="G911">
        <v>90.9</v>
      </c>
    </row>
    <row r="912" spans="1:7" ht="14" x14ac:dyDescent="0.3">
      <c r="A912" t="s">
        <v>936</v>
      </c>
      <c r="B912" t="s">
        <v>8</v>
      </c>
      <c r="C912">
        <v>33</v>
      </c>
      <c r="D912">
        <v>38</v>
      </c>
      <c r="E912">
        <v>2837.64</v>
      </c>
      <c r="F912">
        <v>4.45</v>
      </c>
      <c r="G912">
        <v>100</v>
      </c>
    </row>
    <row r="913" spans="1:7" ht="14" x14ac:dyDescent="0.3">
      <c r="A913" t="s">
        <v>937</v>
      </c>
      <c r="B913" t="s">
        <v>8</v>
      </c>
      <c r="C913">
        <v>14</v>
      </c>
      <c r="D913">
        <v>14</v>
      </c>
      <c r="E913">
        <v>2835.82</v>
      </c>
      <c r="F913">
        <v>3.57</v>
      </c>
      <c r="G913">
        <v>78.599999999999994</v>
      </c>
    </row>
    <row r="914" spans="1:7" ht="14" x14ac:dyDescent="0.3">
      <c r="A914" t="s">
        <v>938</v>
      </c>
      <c r="B914" t="s">
        <v>8</v>
      </c>
      <c r="C914">
        <v>15</v>
      </c>
      <c r="D914">
        <v>15</v>
      </c>
      <c r="E914">
        <v>2835.11</v>
      </c>
      <c r="F914">
        <v>4.7300000000000004</v>
      </c>
      <c r="G914">
        <v>100</v>
      </c>
    </row>
    <row r="915" spans="1:7" ht="14" x14ac:dyDescent="0.3">
      <c r="A915" t="s">
        <v>939</v>
      </c>
      <c r="B915" t="s">
        <v>8</v>
      </c>
      <c r="C915">
        <v>24</v>
      </c>
      <c r="D915">
        <v>26</v>
      </c>
      <c r="E915">
        <v>2831.62</v>
      </c>
      <c r="F915">
        <v>4.1900000000000004</v>
      </c>
      <c r="G915">
        <v>96.2</v>
      </c>
    </row>
    <row r="916" spans="1:7" ht="14" x14ac:dyDescent="0.3">
      <c r="A916" t="s">
        <v>940</v>
      </c>
      <c r="B916" t="s">
        <v>32</v>
      </c>
      <c r="C916">
        <v>18</v>
      </c>
      <c r="D916">
        <v>20</v>
      </c>
      <c r="E916">
        <v>2828.66</v>
      </c>
      <c r="F916">
        <v>4.25</v>
      </c>
      <c r="G916">
        <v>100</v>
      </c>
    </row>
    <row r="917" spans="1:7" ht="14" x14ac:dyDescent="0.3">
      <c r="A917" t="s">
        <v>941</v>
      </c>
      <c r="B917" t="s">
        <v>8</v>
      </c>
      <c r="C917">
        <v>42</v>
      </c>
      <c r="D917">
        <v>45</v>
      </c>
      <c r="E917">
        <v>2828.66</v>
      </c>
      <c r="F917">
        <v>4.16</v>
      </c>
      <c r="G917">
        <v>93.3</v>
      </c>
    </row>
    <row r="918" spans="1:7" ht="14" x14ac:dyDescent="0.3">
      <c r="A918" t="s">
        <v>942</v>
      </c>
      <c r="B918" t="s">
        <v>8</v>
      </c>
      <c r="C918">
        <v>22</v>
      </c>
      <c r="D918">
        <v>30</v>
      </c>
      <c r="E918">
        <v>2823.1</v>
      </c>
      <c r="F918">
        <v>4.47</v>
      </c>
      <c r="G918">
        <v>100</v>
      </c>
    </row>
    <row r="919" spans="1:7" ht="14" x14ac:dyDescent="0.3">
      <c r="A919" t="s">
        <v>943</v>
      </c>
      <c r="B919" t="s">
        <v>87</v>
      </c>
      <c r="C919">
        <v>2</v>
      </c>
      <c r="D919">
        <v>2</v>
      </c>
      <c r="E919">
        <v>2822.75</v>
      </c>
      <c r="F919">
        <v>5</v>
      </c>
      <c r="G919">
        <v>100</v>
      </c>
    </row>
    <row r="920" spans="1:7" ht="14" x14ac:dyDescent="0.3">
      <c r="A920" t="s">
        <v>944</v>
      </c>
      <c r="B920" t="s">
        <v>12</v>
      </c>
      <c r="C920">
        <v>1</v>
      </c>
      <c r="D920">
        <v>1</v>
      </c>
      <c r="E920">
        <v>2818.74</v>
      </c>
      <c r="F920">
        <v>1</v>
      </c>
      <c r="G920">
        <v>100</v>
      </c>
    </row>
    <row r="921" spans="1:7" ht="14" x14ac:dyDescent="0.3">
      <c r="A921" t="s">
        <v>945</v>
      </c>
      <c r="B921" t="s">
        <v>32</v>
      </c>
      <c r="C921">
        <v>7</v>
      </c>
      <c r="D921">
        <v>7</v>
      </c>
      <c r="E921">
        <v>2799.5</v>
      </c>
      <c r="F921">
        <v>4.8600000000000003</v>
      </c>
      <c r="G921">
        <v>100</v>
      </c>
    </row>
    <row r="922" spans="1:7" ht="14" x14ac:dyDescent="0.3">
      <c r="A922" t="s">
        <v>946</v>
      </c>
      <c r="B922" t="s">
        <v>947</v>
      </c>
      <c r="C922">
        <v>11</v>
      </c>
      <c r="D922">
        <v>11</v>
      </c>
      <c r="E922">
        <v>2791.55</v>
      </c>
      <c r="F922">
        <v>4.3600000000000003</v>
      </c>
      <c r="G922">
        <v>100</v>
      </c>
    </row>
    <row r="923" spans="1:7" ht="14" x14ac:dyDescent="0.3">
      <c r="A923" t="s">
        <v>948</v>
      </c>
      <c r="B923" t="s">
        <v>8</v>
      </c>
      <c r="C923">
        <v>11</v>
      </c>
      <c r="D923">
        <v>11</v>
      </c>
      <c r="E923">
        <v>2785.96</v>
      </c>
      <c r="F923">
        <v>4.3600000000000003</v>
      </c>
      <c r="G923">
        <v>81.8</v>
      </c>
    </row>
    <row r="924" spans="1:7" ht="14" x14ac:dyDescent="0.3">
      <c r="A924" t="s">
        <v>949</v>
      </c>
      <c r="B924" t="s">
        <v>8</v>
      </c>
      <c r="C924">
        <v>28</v>
      </c>
      <c r="D924">
        <v>38</v>
      </c>
      <c r="E924">
        <v>2779.1</v>
      </c>
      <c r="F924">
        <v>3.82</v>
      </c>
      <c r="G924">
        <v>100</v>
      </c>
    </row>
    <row r="925" spans="1:7" ht="14" x14ac:dyDescent="0.3">
      <c r="A925" t="s">
        <v>950</v>
      </c>
      <c r="B925" t="s">
        <v>8</v>
      </c>
      <c r="C925">
        <v>20</v>
      </c>
      <c r="D925">
        <v>23</v>
      </c>
      <c r="E925">
        <v>2772.41</v>
      </c>
      <c r="F925">
        <v>3.78</v>
      </c>
      <c r="G925">
        <v>95.7</v>
      </c>
    </row>
    <row r="926" spans="1:7" ht="14" x14ac:dyDescent="0.3">
      <c r="A926" t="s">
        <v>951</v>
      </c>
      <c r="B926" t="s">
        <v>8</v>
      </c>
      <c r="C926">
        <v>29</v>
      </c>
      <c r="D926">
        <v>29</v>
      </c>
      <c r="E926">
        <v>2767.65</v>
      </c>
      <c r="F926">
        <v>4.43</v>
      </c>
      <c r="G926">
        <v>86.2</v>
      </c>
    </row>
    <row r="927" spans="1:7" ht="14" x14ac:dyDescent="0.3">
      <c r="A927" t="s">
        <v>952</v>
      </c>
      <c r="B927" t="s">
        <v>87</v>
      </c>
      <c r="C927">
        <v>13</v>
      </c>
      <c r="D927">
        <v>14</v>
      </c>
      <c r="E927">
        <v>2752.66</v>
      </c>
      <c r="F927">
        <v>4.1399999999999997</v>
      </c>
      <c r="G927">
        <v>78.599999999999994</v>
      </c>
    </row>
    <row r="928" spans="1:7" ht="14" x14ac:dyDescent="0.3">
      <c r="A928" t="s">
        <v>953</v>
      </c>
      <c r="B928" t="s">
        <v>24</v>
      </c>
      <c r="C928">
        <v>14</v>
      </c>
      <c r="D928">
        <v>15</v>
      </c>
      <c r="E928">
        <v>2750.91</v>
      </c>
      <c r="F928">
        <v>3.6</v>
      </c>
      <c r="G928">
        <v>93.3</v>
      </c>
    </row>
    <row r="929" spans="1:7" ht="14" x14ac:dyDescent="0.3">
      <c r="A929" t="s">
        <v>954</v>
      </c>
      <c r="B929" t="s">
        <v>8</v>
      </c>
      <c r="C929">
        <v>3</v>
      </c>
      <c r="D929">
        <v>3</v>
      </c>
      <c r="E929">
        <v>2748.06</v>
      </c>
      <c r="F929">
        <v>3.67</v>
      </c>
      <c r="G929">
        <v>100</v>
      </c>
    </row>
    <row r="930" spans="1:7" ht="14" x14ac:dyDescent="0.3">
      <c r="A930" t="s">
        <v>955</v>
      </c>
      <c r="B930" t="s">
        <v>8</v>
      </c>
      <c r="C930">
        <v>33</v>
      </c>
      <c r="D930">
        <v>35</v>
      </c>
      <c r="E930">
        <v>2746.47</v>
      </c>
      <c r="F930">
        <v>4.4000000000000004</v>
      </c>
      <c r="G930">
        <v>88.6</v>
      </c>
    </row>
    <row r="931" spans="1:7" ht="14" x14ac:dyDescent="0.3">
      <c r="A931" t="s">
        <v>956</v>
      </c>
      <c r="B931" t="s">
        <v>24</v>
      </c>
      <c r="C931">
        <v>13</v>
      </c>
      <c r="D931">
        <v>21</v>
      </c>
      <c r="E931">
        <v>2745.95</v>
      </c>
      <c r="F931">
        <v>3.48</v>
      </c>
      <c r="G931">
        <v>100</v>
      </c>
    </row>
    <row r="932" spans="1:7" ht="14" x14ac:dyDescent="0.3">
      <c r="A932" t="s">
        <v>957</v>
      </c>
      <c r="B932" t="s">
        <v>8</v>
      </c>
      <c r="C932">
        <v>48</v>
      </c>
      <c r="D932">
        <v>60</v>
      </c>
      <c r="E932">
        <v>2739.91</v>
      </c>
      <c r="F932">
        <v>4.58</v>
      </c>
      <c r="G932">
        <v>96.7</v>
      </c>
    </row>
    <row r="933" spans="1:7" ht="14" x14ac:dyDescent="0.3">
      <c r="A933" t="s">
        <v>958</v>
      </c>
      <c r="B933" t="s">
        <v>152</v>
      </c>
      <c r="C933">
        <v>30</v>
      </c>
      <c r="D933">
        <v>32</v>
      </c>
      <c r="E933">
        <v>2737.55</v>
      </c>
      <c r="F933">
        <v>4.5</v>
      </c>
      <c r="G933">
        <v>90.6</v>
      </c>
    </row>
    <row r="934" spans="1:7" ht="14" x14ac:dyDescent="0.3">
      <c r="A934" t="s">
        <v>959</v>
      </c>
      <c r="B934" t="s">
        <v>22</v>
      </c>
      <c r="C934">
        <v>15</v>
      </c>
      <c r="D934">
        <v>15</v>
      </c>
      <c r="E934">
        <v>2735.23</v>
      </c>
      <c r="F934">
        <v>4.53</v>
      </c>
      <c r="G934">
        <v>93.3</v>
      </c>
    </row>
    <row r="935" spans="1:7" ht="14" x14ac:dyDescent="0.3">
      <c r="A935" t="s">
        <v>960</v>
      </c>
      <c r="B935" t="s">
        <v>8</v>
      </c>
      <c r="C935">
        <v>9</v>
      </c>
      <c r="D935">
        <v>9</v>
      </c>
      <c r="E935">
        <v>2718.74</v>
      </c>
      <c r="F935">
        <v>4.22</v>
      </c>
      <c r="G935">
        <v>77.8</v>
      </c>
    </row>
    <row r="936" spans="1:7" ht="14" x14ac:dyDescent="0.3">
      <c r="A936" t="s">
        <v>961</v>
      </c>
      <c r="B936" t="s">
        <v>8</v>
      </c>
      <c r="C936">
        <v>29</v>
      </c>
      <c r="D936">
        <v>30</v>
      </c>
      <c r="E936">
        <v>2701.9</v>
      </c>
      <c r="F936">
        <v>3.5</v>
      </c>
      <c r="G936">
        <v>83.3</v>
      </c>
    </row>
    <row r="937" spans="1:7" ht="14" x14ac:dyDescent="0.3">
      <c r="A937" t="s">
        <v>962</v>
      </c>
      <c r="B937" t="s">
        <v>8</v>
      </c>
      <c r="C937">
        <v>13</v>
      </c>
      <c r="D937">
        <v>15</v>
      </c>
      <c r="E937">
        <v>2699.92</v>
      </c>
      <c r="F937">
        <v>4.67</v>
      </c>
      <c r="G937">
        <v>100</v>
      </c>
    </row>
    <row r="938" spans="1:7" ht="14" x14ac:dyDescent="0.3">
      <c r="A938" t="s">
        <v>963</v>
      </c>
      <c r="B938" t="s">
        <v>8</v>
      </c>
      <c r="C938">
        <v>14</v>
      </c>
      <c r="D938">
        <v>16</v>
      </c>
      <c r="E938">
        <v>2697.83</v>
      </c>
      <c r="F938">
        <v>4.4400000000000004</v>
      </c>
      <c r="G938">
        <v>100</v>
      </c>
    </row>
    <row r="939" spans="1:7" ht="14" x14ac:dyDescent="0.3">
      <c r="A939" t="s">
        <v>964</v>
      </c>
      <c r="B939" t="s">
        <v>8</v>
      </c>
      <c r="C939">
        <v>42</v>
      </c>
      <c r="D939">
        <v>42</v>
      </c>
      <c r="E939">
        <v>2697.3</v>
      </c>
      <c r="F939">
        <v>4.3899999999999997</v>
      </c>
      <c r="G939">
        <v>85.7</v>
      </c>
    </row>
    <row r="940" spans="1:7" ht="14" x14ac:dyDescent="0.3">
      <c r="A940" t="s">
        <v>965</v>
      </c>
      <c r="B940" t="s">
        <v>8</v>
      </c>
      <c r="C940">
        <v>18</v>
      </c>
      <c r="D940">
        <v>19</v>
      </c>
      <c r="E940">
        <v>2696.84</v>
      </c>
      <c r="F940">
        <v>3.58</v>
      </c>
      <c r="G940">
        <v>100</v>
      </c>
    </row>
    <row r="941" spans="1:7" ht="14" x14ac:dyDescent="0.3">
      <c r="A941" t="s">
        <v>966</v>
      </c>
      <c r="B941" t="s">
        <v>8</v>
      </c>
      <c r="C941">
        <v>31</v>
      </c>
      <c r="D941">
        <v>39</v>
      </c>
      <c r="E941">
        <v>2695.77</v>
      </c>
      <c r="F941">
        <v>4.33</v>
      </c>
      <c r="G941">
        <v>92.3</v>
      </c>
    </row>
    <row r="942" spans="1:7" ht="14" x14ac:dyDescent="0.3">
      <c r="A942" t="s">
        <v>967</v>
      </c>
      <c r="B942" t="s">
        <v>8</v>
      </c>
      <c r="C942">
        <v>18</v>
      </c>
      <c r="D942">
        <v>20</v>
      </c>
      <c r="E942">
        <v>2694.72</v>
      </c>
      <c r="F942">
        <v>3.8</v>
      </c>
      <c r="G942">
        <v>100</v>
      </c>
    </row>
    <row r="943" spans="1:7" ht="14" x14ac:dyDescent="0.3">
      <c r="A943" t="s">
        <v>968</v>
      </c>
      <c r="B943" t="s">
        <v>8</v>
      </c>
      <c r="C943">
        <v>16</v>
      </c>
      <c r="D943">
        <v>16</v>
      </c>
      <c r="E943">
        <v>2691.15</v>
      </c>
      <c r="F943">
        <v>4.25</v>
      </c>
      <c r="G943">
        <v>93.8</v>
      </c>
    </row>
    <row r="944" spans="1:7" ht="14" x14ac:dyDescent="0.3">
      <c r="A944" t="s">
        <v>969</v>
      </c>
      <c r="B944" t="s">
        <v>32</v>
      </c>
      <c r="C944">
        <v>22</v>
      </c>
      <c r="D944">
        <v>25</v>
      </c>
      <c r="E944">
        <v>2687.43</v>
      </c>
      <c r="F944">
        <v>3.84</v>
      </c>
      <c r="G944">
        <v>92</v>
      </c>
    </row>
    <row r="945" spans="1:7" ht="14" x14ac:dyDescent="0.3">
      <c r="A945" t="s">
        <v>970</v>
      </c>
      <c r="B945" t="s">
        <v>8</v>
      </c>
      <c r="C945">
        <v>20</v>
      </c>
      <c r="D945">
        <v>24</v>
      </c>
      <c r="E945">
        <v>2672.82</v>
      </c>
      <c r="F945">
        <v>4.13</v>
      </c>
      <c r="G945">
        <v>91.7</v>
      </c>
    </row>
    <row r="946" spans="1:7" ht="14" x14ac:dyDescent="0.3">
      <c r="A946" t="s">
        <v>971</v>
      </c>
      <c r="B946" t="s">
        <v>24</v>
      </c>
      <c r="C946">
        <v>39</v>
      </c>
      <c r="D946">
        <v>55</v>
      </c>
      <c r="E946">
        <v>2661.2</v>
      </c>
      <c r="F946">
        <v>4.51</v>
      </c>
      <c r="G946">
        <v>100</v>
      </c>
    </row>
    <row r="947" spans="1:7" ht="14" x14ac:dyDescent="0.3">
      <c r="A947" t="s">
        <v>972</v>
      </c>
      <c r="B947" t="s">
        <v>8</v>
      </c>
      <c r="C947">
        <v>6</v>
      </c>
      <c r="D947">
        <v>17</v>
      </c>
      <c r="E947">
        <v>2660.91</v>
      </c>
      <c r="F947">
        <v>5</v>
      </c>
      <c r="G947">
        <v>100</v>
      </c>
    </row>
    <row r="948" spans="1:7" ht="14" x14ac:dyDescent="0.3">
      <c r="A948" t="s">
        <v>973</v>
      </c>
      <c r="B948" t="s">
        <v>8</v>
      </c>
      <c r="C948">
        <v>12</v>
      </c>
      <c r="D948">
        <v>12</v>
      </c>
      <c r="E948">
        <v>2646.94</v>
      </c>
      <c r="F948">
        <v>4.25</v>
      </c>
      <c r="G948">
        <v>91.7</v>
      </c>
    </row>
    <row r="949" spans="1:7" ht="14" x14ac:dyDescent="0.3">
      <c r="A949" t="s">
        <v>974</v>
      </c>
      <c r="B949" t="s">
        <v>42</v>
      </c>
      <c r="C949">
        <v>10</v>
      </c>
      <c r="D949">
        <v>11</v>
      </c>
      <c r="E949">
        <v>2646.83</v>
      </c>
      <c r="F949">
        <v>4.55</v>
      </c>
      <c r="G949">
        <v>100</v>
      </c>
    </row>
    <row r="950" spans="1:7" ht="14" x14ac:dyDescent="0.3">
      <c r="A950" t="s">
        <v>975</v>
      </c>
      <c r="B950" t="s">
        <v>8</v>
      </c>
      <c r="C950">
        <v>17</v>
      </c>
      <c r="D950">
        <v>17</v>
      </c>
      <c r="E950">
        <v>2641.44</v>
      </c>
      <c r="F950">
        <v>4.53</v>
      </c>
      <c r="G950">
        <v>100</v>
      </c>
    </row>
    <row r="951" spans="1:7" ht="14" x14ac:dyDescent="0.3">
      <c r="A951" t="s">
        <v>976</v>
      </c>
      <c r="B951" t="s">
        <v>309</v>
      </c>
      <c r="C951">
        <v>15</v>
      </c>
      <c r="D951">
        <v>15</v>
      </c>
      <c r="E951">
        <v>2638.45</v>
      </c>
      <c r="F951">
        <v>3.8</v>
      </c>
      <c r="G951">
        <v>100</v>
      </c>
    </row>
    <row r="952" spans="1:7" ht="14" x14ac:dyDescent="0.3">
      <c r="A952" t="s">
        <v>977</v>
      </c>
      <c r="B952" t="s">
        <v>8</v>
      </c>
      <c r="C952">
        <v>8</v>
      </c>
      <c r="D952">
        <v>8</v>
      </c>
      <c r="E952">
        <v>2634.83</v>
      </c>
      <c r="F952">
        <v>4.75</v>
      </c>
      <c r="G952">
        <v>100</v>
      </c>
    </row>
    <row r="953" spans="1:7" ht="14" x14ac:dyDescent="0.3">
      <c r="A953" t="s">
        <v>978</v>
      </c>
      <c r="B953" t="s">
        <v>8</v>
      </c>
      <c r="C953">
        <v>2</v>
      </c>
      <c r="D953">
        <v>2</v>
      </c>
      <c r="E953">
        <v>2630.68</v>
      </c>
      <c r="F953">
        <v>5</v>
      </c>
      <c r="G953">
        <v>100</v>
      </c>
    </row>
    <row r="954" spans="1:7" ht="14" x14ac:dyDescent="0.3">
      <c r="A954" t="s">
        <v>979</v>
      </c>
      <c r="B954" t="s">
        <v>8</v>
      </c>
      <c r="C954">
        <v>38</v>
      </c>
      <c r="D954">
        <v>43</v>
      </c>
      <c r="E954">
        <v>2630.23</v>
      </c>
      <c r="F954">
        <v>4.5599999999999996</v>
      </c>
      <c r="G954">
        <v>97.7</v>
      </c>
    </row>
    <row r="955" spans="1:7" ht="14" x14ac:dyDescent="0.3">
      <c r="A955" t="s">
        <v>980</v>
      </c>
      <c r="B955" t="s">
        <v>42</v>
      </c>
      <c r="C955">
        <v>5</v>
      </c>
      <c r="D955">
        <v>5</v>
      </c>
      <c r="E955">
        <v>2616.3000000000002</v>
      </c>
      <c r="F955">
        <v>4.8</v>
      </c>
      <c r="G955">
        <v>80</v>
      </c>
    </row>
    <row r="956" spans="1:7" ht="14" x14ac:dyDescent="0.3">
      <c r="A956" t="s">
        <v>981</v>
      </c>
      <c r="B956" t="s">
        <v>87</v>
      </c>
      <c r="C956">
        <v>15</v>
      </c>
      <c r="D956">
        <v>28</v>
      </c>
      <c r="E956">
        <v>2614.2600000000002</v>
      </c>
      <c r="F956">
        <v>3</v>
      </c>
      <c r="G956">
        <v>100</v>
      </c>
    </row>
    <row r="957" spans="1:7" ht="14" x14ac:dyDescent="0.3">
      <c r="A957" t="s">
        <v>982</v>
      </c>
      <c r="B957" t="s">
        <v>8</v>
      </c>
      <c r="C957">
        <v>26</v>
      </c>
      <c r="D957">
        <v>26</v>
      </c>
      <c r="E957">
        <v>2613.58</v>
      </c>
      <c r="F957">
        <v>4.42</v>
      </c>
      <c r="G957">
        <v>88.5</v>
      </c>
    </row>
    <row r="958" spans="1:7" ht="14" x14ac:dyDescent="0.3">
      <c r="A958" t="s">
        <v>983</v>
      </c>
      <c r="B958" t="s">
        <v>24</v>
      </c>
      <c r="C958">
        <v>5</v>
      </c>
      <c r="D958">
        <v>5</v>
      </c>
      <c r="E958">
        <v>2612.56</v>
      </c>
      <c r="F958">
        <v>3.8</v>
      </c>
      <c r="G958">
        <v>100</v>
      </c>
    </row>
    <row r="959" spans="1:7" ht="14" x14ac:dyDescent="0.3">
      <c r="A959" t="s">
        <v>984</v>
      </c>
      <c r="B959" t="s">
        <v>8</v>
      </c>
      <c r="C959">
        <v>12</v>
      </c>
      <c r="D959">
        <v>17</v>
      </c>
      <c r="E959">
        <v>2607.7800000000002</v>
      </c>
      <c r="F959">
        <v>3.47</v>
      </c>
      <c r="G959">
        <v>100</v>
      </c>
    </row>
    <row r="960" spans="1:7" ht="14" x14ac:dyDescent="0.3">
      <c r="A960" t="s">
        <v>985</v>
      </c>
      <c r="B960" t="s">
        <v>87</v>
      </c>
      <c r="C960">
        <v>8</v>
      </c>
      <c r="D960">
        <v>8</v>
      </c>
      <c r="E960">
        <v>2578.5</v>
      </c>
      <c r="F960">
        <v>4.63</v>
      </c>
      <c r="G960">
        <v>100</v>
      </c>
    </row>
    <row r="961" spans="1:7" ht="14" x14ac:dyDescent="0.3">
      <c r="A961" t="s">
        <v>986</v>
      </c>
      <c r="B961" t="s">
        <v>8</v>
      </c>
      <c r="C961">
        <v>21</v>
      </c>
      <c r="D961">
        <v>22</v>
      </c>
      <c r="E961">
        <v>2569.16</v>
      </c>
      <c r="F961">
        <v>4.2699999999999996</v>
      </c>
      <c r="G961">
        <v>95.5</v>
      </c>
    </row>
    <row r="962" spans="1:7" ht="14" x14ac:dyDescent="0.3">
      <c r="A962" t="s">
        <v>987</v>
      </c>
      <c r="B962" t="s">
        <v>8</v>
      </c>
      <c r="C962">
        <v>9</v>
      </c>
      <c r="D962">
        <v>9</v>
      </c>
      <c r="E962">
        <v>2568.8000000000002</v>
      </c>
      <c r="F962">
        <v>4.22</v>
      </c>
      <c r="G962">
        <v>100</v>
      </c>
    </row>
    <row r="963" spans="1:7" ht="14" x14ac:dyDescent="0.3">
      <c r="A963" t="s">
        <v>988</v>
      </c>
      <c r="B963" t="s">
        <v>8</v>
      </c>
      <c r="C963">
        <v>24</v>
      </c>
      <c r="D963">
        <v>25</v>
      </c>
      <c r="E963">
        <v>2568.75</v>
      </c>
      <c r="F963">
        <v>4.24</v>
      </c>
      <c r="G963">
        <v>96</v>
      </c>
    </row>
    <row r="964" spans="1:7" ht="14" x14ac:dyDescent="0.3">
      <c r="A964" t="s">
        <v>989</v>
      </c>
      <c r="B964" t="s">
        <v>8</v>
      </c>
      <c r="C964">
        <v>11</v>
      </c>
      <c r="D964">
        <v>12</v>
      </c>
      <c r="E964">
        <v>2549.63</v>
      </c>
      <c r="F964">
        <v>4.17</v>
      </c>
      <c r="G964">
        <v>91.7</v>
      </c>
    </row>
    <row r="965" spans="1:7" ht="14" x14ac:dyDescent="0.3">
      <c r="A965" t="s">
        <v>990</v>
      </c>
      <c r="B965" t="s">
        <v>8</v>
      </c>
      <c r="C965">
        <v>25</v>
      </c>
      <c r="D965">
        <v>25</v>
      </c>
      <c r="E965">
        <v>2547.17</v>
      </c>
      <c r="F965">
        <v>3.88</v>
      </c>
      <c r="G965">
        <v>100</v>
      </c>
    </row>
    <row r="966" spans="1:7" ht="14" x14ac:dyDescent="0.3">
      <c r="A966" t="s">
        <v>991</v>
      </c>
      <c r="B966" t="s">
        <v>42</v>
      </c>
      <c r="C966">
        <v>11</v>
      </c>
      <c r="D966">
        <v>11</v>
      </c>
      <c r="E966">
        <v>2545.2600000000002</v>
      </c>
      <c r="F966">
        <v>3.55</v>
      </c>
      <c r="G966">
        <v>72.7</v>
      </c>
    </row>
    <row r="967" spans="1:7" ht="14" x14ac:dyDescent="0.3">
      <c r="A967" t="s">
        <v>992</v>
      </c>
      <c r="B967" t="s">
        <v>8</v>
      </c>
      <c r="C967">
        <v>16</v>
      </c>
      <c r="D967">
        <v>16</v>
      </c>
      <c r="E967">
        <v>2534.94</v>
      </c>
      <c r="F967">
        <v>3.94</v>
      </c>
      <c r="G967">
        <v>100</v>
      </c>
    </row>
    <row r="968" spans="1:7" ht="14" x14ac:dyDescent="0.3">
      <c r="A968" t="s">
        <v>993</v>
      </c>
      <c r="B968" t="s">
        <v>42</v>
      </c>
      <c r="C968">
        <v>14</v>
      </c>
      <c r="D968">
        <v>20</v>
      </c>
      <c r="E968">
        <v>2523.79</v>
      </c>
      <c r="F968">
        <v>4.5999999999999996</v>
      </c>
      <c r="G968">
        <v>95</v>
      </c>
    </row>
    <row r="969" spans="1:7" ht="14" x14ac:dyDescent="0.3">
      <c r="A969" t="s">
        <v>994</v>
      </c>
      <c r="B969" t="s">
        <v>22</v>
      </c>
      <c r="C969">
        <v>4</v>
      </c>
      <c r="D969">
        <v>6</v>
      </c>
      <c r="E969">
        <v>2519.63</v>
      </c>
      <c r="F969">
        <v>3.83</v>
      </c>
      <c r="G969">
        <v>100</v>
      </c>
    </row>
    <row r="970" spans="1:7" ht="14" x14ac:dyDescent="0.3">
      <c r="A970" t="s">
        <v>995</v>
      </c>
      <c r="B970" t="s">
        <v>8</v>
      </c>
      <c r="C970">
        <v>3</v>
      </c>
      <c r="D970">
        <v>9</v>
      </c>
      <c r="E970">
        <v>2509.6799999999998</v>
      </c>
      <c r="F970">
        <v>2.78</v>
      </c>
      <c r="G970">
        <v>100</v>
      </c>
    </row>
    <row r="971" spans="1:7" ht="14" x14ac:dyDescent="0.3">
      <c r="A971" t="s">
        <v>996</v>
      </c>
      <c r="B971" t="s">
        <v>42</v>
      </c>
      <c r="C971">
        <v>13</v>
      </c>
      <c r="D971">
        <v>13</v>
      </c>
      <c r="E971">
        <v>2501.75</v>
      </c>
      <c r="F971">
        <v>3.92</v>
      </c>
      <c r="G971">
        <v>76.900000000000006</v>
      </c>
    </row>
    <row r="972" spans="1:7" ht="14" x14ac:dyDescent="0.3">
      <c r="A972" t="s">
        <v>997</v>
      </c>
      <c r="B972" t="s">
        <v>309</v>
      </c>
      <c r="C972">
        <v>11</v>
      </c>
      <c r="D972">
        <v>11</v>
      </c>
      <c r="E972">
        <v>2495.41</v>
      </c>
      <c r="F972">
        <v>4.55</v>
      </c>
      <c r="G972">
        <v>90.9</v>
      </c>
    </row>
    <row r="973" spans="1:7" ht="14" x14ac:dyDescent="0.3">
      <c r="A973" t="s">
        <v>998</v>
      </c>
      <c r="B973" t="s">
        <v>8</v>
      </c>
      <c r="C973">
        <v>11</v>
      </c>
      <c r="D973">
        <v>16</v>
      </c>
      <c r="E973">
        <v>2489.8000000000002</v>
      </c>
      <c r="F973">
        <v>4.3099999999999996</v>
      </c>
      <c r="G973">
        <v>93.8</v>
      </c>
    </row>
    <row r="974" spans="1:7" ht="14" x14ac:dyDescent="0.3">
      <c r="A974" t="s">
        <v>999</v>
      </c>
      <c r="B974" t="s">
        <v>87</v>
      </c>
      <c r="C974">
        <v>3</v>
      </c>
      <c r="D974">
        <v>5</v>
      </c>
      <c r="E974">
        <v>2484.3000000000002</v>
      </c>
      <c r="F974">
        <v>4.8</v>
      </c>
      <c r="G974">
        <v>100</v>
      </c>
    </row>
    <row r="975" spans="1:7" ht="14" x14ac:dyDescent="0.3">
      <c r="A975" t="s">
        <v>1000</v>
      </c>
      <c r="B975" t="s">
        <v>42</v>
      </c>
      <c r="C975">
        <v>16</v>
      </c>
      <c r="D975">
        <v>16</v>
      </c>
      <c r="E975">
        <v>2477.5500000000002</v>
      </c>
      <c r="F975">
        <v>4.1900000000000004</v>
      </c>
      <c r="G975">
        <v>93.8</v>
      </c>
    </row>
    <row r="976" spans="1:7" ht="14" x14ac:dyDescent="0.3">
      <c r="A976" t="s">
        <v>1001</v>
      </c>
      <c r="B976" t="s">
        <v>8</v>
      </c>
      <c r="C976">
        <v>18</v>
      </c>
      <c r="D976">
        <v>18</v>
      </c>
      <c r="E976">
        <v>2474.5500000000002</v>
      </c>
      <c r="F976">
        <v>4.28</v>
      </c>
      <c r="G976">
        <v>94.4</v>
      </c>
    </row>
    <row r="977" spans="1:7" ht="14" x14ac:dyDescent="0.3">
      <c r="A977" t="s">
        <v>1002</v>
      </c>
      <c r="B977" t="s">
        <v>8</v>
      </c>
      <c r="C977">
        <v>15</v>
      </c>
      <c r="D977">
        <v>21</v>
      </c>
      <c r="E977">
        <v>2469.8200000000002</v>
      </c>
      <c r="F977">
        <v>4.67</v>
      </c>
      <c r="G977">
        <v>95.2</v>
      </c>
    </row>
    <row r="978" spans="1:7" ht="14" x14ac:dyDescent="0.3">
      <c r="A978" t="s">
        <v>1003</v>
      </c>
      <c r="B978" t="s">
        <v>8</v>
      </c>
      <c r="C978">
        <v>17</v>
      </c>
      <c r="D978">
        <v>17</v>
      </c>
      <c r="E978">
        <v>2462.0700000000002</v>
      </c>
      <c r="F978">
        <v>4.3499999999999996</v>
      </c>
      <c r="G978">
        <v>88.2</v>
      </c>
    </row>
    <row r="979" spans="1:7" ht="14" x14ac:dyDescent="0.3">
      <c r="A979" t="s">
        <v>1004</v>
      </c>
      <c r="B979" t="s">
        <v>24</v>
      </c>
      <c r="C979">
        <v>3</v>
      </c>
      <c r="D979">
        <v>5</v>
      </c>
      <c r="E979">
        <v>2459.8200000000002</v>
      </c>
      <c r="F979">
        <v>1.67</v>
      </c>
      <c r="G979">
        <v>20</v>
      </c>
    </row>
    <row r="980" spans="1:7" ht="14" x14ac:dyDescent="0.3">
      <c r="A980" t="s">
        <v>1005</v>
      </c>
      <c r="B980" t="s">
        <v>42</v>
      </c>
      <c r="C980">
        <v>5</v>
      </c>
      <c r="D980">
        <v>5</v>
      </c>
      <c r="E980">
        <v>2456.44</v>
      </c>
      <c r="F980">
        <v>4.5999999999999996</v>
      </c>
      <c r="G980">
        <v>100</v>
      </c>
    </row>
    <row r="981" spans="1:7" ht="14" x14ac:dyDescent="0.3">
      <c r="A981" t="s">
        <v>1006</v>
      </c>
      <c r="B981" t="s">
        <v>8</v>
      </c>
      <c r="C981">
        <v>13</v>
      </c>
      <c r="D981">
        <v>13</v>
      </c>
      <c r="E981">
        <v>2456.2199999999998</v>
      </c>
      <c r="F981">
        <v>4.62</v>
      </c>
      <c r="G981">
        <v>100</v>
      </c>
    </row>
    <row r="982" spans="1:7" ht="14" x14ac:dyDescent="0.3">
      <c r="A982" t="s">
        <v>1007</v>
      </c>
      <c r="B982" t="s">
        <v>8</v>
      </c>
      <c r="C982">
        <v>1</v>
      </c>
      <c r="D982">
        <v>1</v>
      </c>
      <c r="E982">
        <v>2455.12</v>
      </c>
      <c r="F982">
        <v>1</v>
      </c>
      <c r="G982">
        <v>0</v>
      </c>
    </row>
    <row r="983" spans="1:7" ht="14" x14ac:dyDescent="0.3">
      <c r="A983" t="s">
        <v>1008</v>
      </c>
      <c r="B983" t="s">
        <v>24</v>
      </c>
      <c r="C983">
        <v>38</v>
      </c>
      <c r="D983">
        <v>39</v>
      </c>
      <c r="E983">
        <v>2452.9899999999998</v>
      </c>
      <c r="F983">
        <v>4.2699999999999996</v>
      </c>
      <c r="G983">
        <v>92.3</v>
      </c>
    </row>
    <row r="984" spans="1:7" ht="14" x14ac:dyDescent="0.3">
      <c r="A984" t="s">
        <v>1009</v>
      </c>
      <c r="B984" t="s">
        <v>8</v>
      </c>
      <c r="C984">
        <v>19</v>
      </c>
      <c r="D984">
        <v>19</v>
      </c>
      <c r="E984">
        <v>2443.2199999999998</v>
      </c>
      <c r="F984">
        <v>4.1100000000000003</v>
      </c>
      <c r="G984">
        <v>94.7</v>
      </c>
    </row>
    <row r="985" spans="1:7" ht="14" x14ac:dyDescent="0.3">
      <c r="A985" t="s">
        <v>1010</v>
      </c>
      <c r="B985" t="s">
        <v>32</v>
      </c>
      <c r="C985">
        <v>11</v>
      </c>
      <c r="D985">
        <v>12</v>
      </c>
      <c r="E985">
        <v>2442.94</v>
      </c>
      <c r="F985">
        <v>3.67</v>
      </c>
      <c r="G985">
        <v>83.3</v>
      </c>
    </row>
    <row r="986" spans="1:7" ht="14" x14ac:dyDescent="0.3">
      <c r="A986" t="s">
        <v>1011</v>
      </c>
      <c r="B986" t="s">
        <v>24</v>
      </c>
      <c r="C986">
        <v>30</v>
      </c>
      <c r="D986">
        <v>33</v>
      </c>
      <c r="E986">
        <v>2442.7399999999998</v>
      </c>
      <c r="F986">
        <v>4.13</v>
      </c>
      <c r="G986">
        <v>87.9</v>
      </c>
    </row>
    <row r="987" spans="1:7" ht="14" x14ac:dyDescent="0.3">
      <c r="A987" t="s">
        <v>1012</v>
      </c>
      <c r="B987" t="s">
        <v>22</v>
      </c>
      <c r="C987">
        <v>13</v>
      </c>
      <c r="D987">
        <v>22</v>
      </c>
      <c r="E987">
        <v>2431.81</v>
      </c>
      <c r="F987">
        <v>4</v>
      </c>
      <c r="G987">
        <v>90.9</v>
      </c>
    </row>
    <row r="988" spans="1:7" ht="14" x14ac:dyDescent="0.3">
      <c r="A988" t="s">
        <v>1013</v>
      </c>
      <c r="B988" t="s">
        <v>8</v>
      </c>
      <c r="C988">
        <v>22</v>
      </c>
      <c r="D988">
        <v>23</v>
      </c>
      <c r="E988">
        <v>2431.08</v>
      </c>
      <c r="F988">
        <v>4.5199999999999996</v>
      </c>
      <c r="G988">
        <v>91.3</v>
      </c>
    </row>
    <row r="989" spans="1:7" ht="14" x14ac:dyDescent="0.3">
      <c r="A989" t="s">
        <v>1014</v>
      </c>
      <c r="B989" t="s">
        <v>8</v>
      </c>
      <c r="C989">
        <v>18</v>
      </c>
      <c r="D989">
        <v>24</v>
      </c>
      <c r="E989">
        <v>2422.2199999999998</v>
      </c>
      <c r="F989">
        <v>3.25</v>
      </c>
      <c r="G989">
        <v>100</v>
      </c>
    </row>
    <row r="990" spans="1:7" ht="14" x14ac:dyDescent="0.3">
      <c r="A990" t="s">
        <v>1015</v>
      </c>
      <c r="B990" t="s">
        <v>24</v>
      </c>
      <c r="C990">
        <v>19</v>
      </c>
      <c r="D990">
        <v>22</v>
      </c>
      <c r="E990">
        <v>2419.33</v>
      </c>
      <c r="F990">
        <v>4.2300000000000004</v>
      </c>
      <c r="G990">
        <v>95.5</v>
      </c>
    </row>
    <row r="991" spans="1:7" ht="14" x14ac:dyDescent="0.3">
      <c r="A991" t="s">
        <v>1016</v>
      </c>
      <c r="B991" t="s">
        <v>32</v>
      </c>
      <c r="C991">
        <v>10</v>
      </c>
      <c r="D991">
        <v>10</v>
      </c>
      <c r="E991">
        <v>2413.37</v>
      </c>
      <c r="F991">
        <v>4.22</v>
      </c>
      <c r="G991">
        <v>100</v>
      </c>
    </row>
    <row r="992" spans="1:7" ht="14" x14ac:dyDescent="0.3">
      <c r="A992" t="s">
        <v>1017</v>
      </c>
      <c r="B992" t="s">
        <v>22</v>
      </c>
      <c r="C992">
        <v>18</v>
      </c>
      <c r="D992">
        <v>22</v>
      </c>
      <c r="E992">
        <v>2410.6799999999998</v>
      </c>
      <c r="F992">
        <v>4.55</v>
      </c>
      <c r="G992">
        <v>95.5</v>
      </c>
    </row>
    <row r="993" spans="1:7" ht="14" x14ac:dyDescent="0.3">
      <c r="A993" t="s">
        <v>1018</v>
      </c>
      <c r="B993" t="s">
        <v>8</v>
      </c>
      <c r="C993">
        <v>17</v>
      </c>
      <c r="D993">
        <v>18</v>
      </c>
      <c r="E993">
        <v>2404.9699999999998</v>
      </c>
      <c r="F993">
        <v>4.4400000000000004</v>
      </c>
      <c r="G993">
        <v>100</v>
      </c>
    </row>
    <row r="994" spans="1:7" ht="14" x14ac:dyDescent="0.3">
      <c r="A994" t="s">
        <v>1019</v>
      </c>
      <c r="B994" t="s">
        <v>8</v>
      </c>
      <c r="C994">
        <v>15</v>
      </c>
      <c r="D994">
        <v>16</v>
      </c>
      <c r="E994">
        <v>2393.02</v>
      </c>
      <c r="F994">
        <v>3.56</v>
      </c>
      <c r="G994">
        <v>81.3</v>
      </c>
    </row>
    <row r="995" spans="1:7" ht="14" x14ac:dyDescent="0.3">
      <c r="A995" t="s">
        <v>1020</v>
      </c>
      <c r="B995" t="s">
        <v>8</v>
      </c>
      <c r="C995">
        <v>10</v>
      </c>
      <c r="D995">
        <v>10</v>
      </c>
      <c r="E995">
        <v>2391.08</v>
      </c>
      <c r="F995">
        <v>4.8</v>
      </c>
      <c r="G995">
        <v>100</v>
      </c>
    </row>
    <row r="996" spans="1:7" ht="14" x14ac:dyDescent="0.3">
      <c r="A996" t="s">
        <v>1021</v>
      </c>
      <c r="B996" t="s">
        <v>32</v>
      </c>
      <c r="C996">
        <v>25</v>
      </c>
      <c r="D996">
        <v>33</v>
      </c>
      <c r="E996">
        <v>2388.13</v>
      </c>
      <c r="F996">
        <v>4.2699999999999996</v>
      </c>
      <c r="G996">
        <v>100</v>
      </c>
    </row>
    <row r="997" spans="1:7" ht="14" x14ac:dyDescent="0.3">
      <c r="A997" t="s">
        <v>1022</v>
      </c>
      <c r="B997" t="s">
        <v>309</v>
      </c>
      <c r="C997">
        <v>15</v>
      </c>
      <c r="D997">
        <v>22</v>
      </c>
      <c r="E997">
        <v>2381.35</v>
      </c>
      <c r="F997">
        <v>4.41</v>
      </c>
      <c r="G997">
        <v>100</v>
      </c>
    </row>
    <row r="998" spans="1:7" ht="14" x14ac:dyDescent="0.3">
      <c r="A998" t="s">
        <v>1023</v>
      </c>
      <c r="B998" t="s">
        <v>8</v>
      </c>
      <c r="C998">
        <v>15</v>
      </c>
      <c r="D998">
        <v>15</v>
      </c>
      <c r="E998">
        <v>2378.63</v>
      </c>
      <c r="F998">
        <v>3.87</v>
      </c>
      <c r="G998">
        <v>73.3</v>
      </c>
    </row>
    <row r="999" spans="1:7" ht="14" x14ac:dyDescent="0.3">
      <c r="A999" t="s">
        <v>1024</v>
      </c>
      <c r="B999" t="s">
        <v>8</v>
      </c>
      <c r="C999">
        <v>25</v>
      </c>
      <c r="D999">
        <v>39</v>
      </c>
      <c r="E999">
        <v>2374.46</v>
      </c>
      <c r="F999">
        <v>4.07</v>
      </c>
      <c r="G999">
        <v>100</v>
      </c>
    </row>
    <row r="1000" spans="1:7" ht="14" x14ac:dyDescent="0.3">
      <c r="A1000" t="s">
        <v>1025</v>
      </c>
      <c r="B1000" t="s">
        <v>8</v>
      </c>
      <c r="C1000">
        <v>19</v>
      </c>
      <c r="D1000">
        <v>20</v>
      </c>
      <c r="E1000">
        <v>2366.79</v>
      </c>
      <c r="F1000">
        <v>4.16</v>
      </c>
      <c r="G1000">
        <v>100</v>
      </c>
    </row>
    <row r="1001" spans="1:7" ht="14" x14ac:dyDescent="0.3">
      <c r="A1001" t="s">
        <v>1026</v>
      </c>
      <c r="B1001" t="s">
        <v>8</v>
      </c>
      <c r="C1001">
        <v>50</v>
      </c>
      <c r="D1001">
        <v>50</v>
      </c>
      <c r="E1001">
        <v>2359.5500000000002</v>
      </c>
      <c r="F1001">
        <v>4.33</v>
      </c>
      <c r="G1001">
        <v>96</v>
      </c>
    </row>
    <row r="1002" spans="1:7" ht="14" x14ac:dyDescent="0.3">
      <c r="A1002" t="s">
        <v>1027</v>
      </c>
      <c r="B1002" t="s">
        <v>8</v>
      </c>
      <c r="C1002">
        <v>35</v>
      </c>
      <c r="D1002">
        <v>38</v>
      </c>
      <c r="E1002">
        <v>2356.58</v>
      </c>
      <c r="F1002">
        <v>3.76</v>
      </c>
      <c r="G1002">
        <v>94.7</v>
      </c>
    </row>
    <row r="1003" spans="1:7" ht="14" x14ac:dyDescent="0.3">
      <c r="A1003" t="s">
        <v>1028</v>
      </c>
      <c r="B1003" t="s">
        <v>22</v>
      </c>
      <c r="C1003">
        <v>18</v>
      </c>
      <c r="D1003">
        <v>22</v>
      </c>
      <c r="E1003">
        <v>2356.54</v>
      </c>
      <c r="F1003">
        <v>4.05</v>
      </c>
      <c r="G1003">
        <v>90.9</v>
      </c>
    </row>
    <row r="1004" spans="1:7" ht="14" x14ac:dyDescent="0.3">
      <c r="A1004" t="s">
        <v>1029</v>
      </c>
      <c r="B1004" t="s">
        <v>42</v>
      </c>
      <c r="C1004">
        <v>4</v>
      </c>
      <c r="D1004">
        <v>4</v>
      </c>
      <c r="E1004">
        <v>2353.44</v>
      </c>
      <c r="F1004">
        <v>4</v>
      </c>
      <c r="G1004">
        <v>75</v>
      </c>
    </row>
    <row r="1005" spans="1:7" ht="14" x14ac:dyDescent="0.3">
      <c r="A1005" t="s">
        <v>1030</v>
      </c>
      <c r="B1005" t="s">
        <v>8</v>
      </c>
      <c r="C1005">
        <v>36</v>
      </c>
      <c r="D1005">
        <v>43</v>
      </c>
      <c r="E1005">
        <v>2352.35</v>
      </c>
      <c r="F1005">
        <v>4.4400000000000004</v>
      </c>
      <c r="G1005">
        <v>95.3</v>
      </c>
    </row>
    <row r="1006" spans="1:7" ht="14" x14ac:dyDescent="0.3">
      <c r="A1006" t="s">
        <v>1031</v>
      </c>
      <c r="B1006" t="s">
        <v>8</v>
      </c>
      <c r="C1006">
        <v>17</v>
      </c>
      <c r="D1006">
        <v>17</v>
      </c>
      <c r="E1006">
        <v>2349.91</v>
      </c>
      <c r="F1006">
        <v>4.3499999999999996</v>
      </c>
      <c r="G1006">
        <v>94.1</v>
      </c>
    </row>
    <row r="1007" spans="1:7" ht="14" x14ac:dyDescent="0.3">
      <c r="A1007" t="s">
        <v>1032</v>
      </c>
      <c r="B1007" t="s">
        <v>38</v>
      </c>
      <c r="C1007">
        <v>3</v>
      </c>
      <c r="D1007">
        <v>3</v>
      </c>
      <c r="E1007">
        <v>2341.7600000000002</v>
      </c>
      <c r="F1007">
        <v>4.33</v>
      </c>
      <c r="G1007">
        <v>100</v>
      </c>
    </row>
    <row r="1008" spans="1:7" ht="14" x14ac:dyDescent="0.3">
      <c r="A1008" t="s">
        <v>1033</v>
      </c>
      <c r="B1008" t="s">
        <v>32</v>
      </c>
      <c r="C1008">
        <v>20</v>
      </c>
      <c r="D1008">
        <v>21</v>
      </c>
      <c r="E1008">
        <v>2337.0100000000002</v>
      </c>
      <c r="F1008">
        <v>4.37</v>
      </c>
      <c r="G1008">
        <v>100</v>
      </c>
    </row>
    <row r="1009" spans="1:7" ht="14" x14ac:dyDescent="0.3">
      <c r="A1009" t="s">
        <v>1034</v>
      </c>
      <c r="B1009" t="s">
        <v>309</v>
      </c>
      <c r="C1009">
        <v>19</v>
      </c>
      <c r="D1009">
        <v>20</v>
      </c>
      <c r="E1009">
        <v>2326.67</v>
      </c>
      <c r="F1009">
        <v>4.3499999999999996</v>
      </c>
      <c r="G1009">
        <v>100</v>
      </c>
    </row>
    <row r="1010" spans="1:7" ht="14" x14ac:dyDescent="0.3">
      <c r="A1010" t="s">
        <v>1035</v>
      </c>
      <c r="B1010" t="s">
        <v>8</v>
      </c>
      <c r="C1010">
        <v>10</v>
      </c>
      <c r="D1010">
        <v>10</v>
      </c>
      <c r="E1010">
        <v>2314.2199999999998</v>
      </c>
      <c r="F1010">
        <v>4.9000000000000004</v>
      </c>
      <c r="G1010">
        <v>80</v>
      </c>
    </row>
    <row r="1011" spans="1:7" ht="14" x14ac:dyDescent="0.3">
      <c r="A1011" t="s">
        <v>1036</v>
      </c>
      <c r="B1011" t="s">
        <v>8</v>
      </c>
      <c r="C1011">
        <v>27</v>
      </c>
      <c r="D1011">
        <v>31</v>
      </c>
      <c r="E1011">
        <v>2303.4299999999998</v>
      </c>
      <c r="F1011">
        <v>4.2699999999999996</v>
      </c>
      <c r="G1011">
        <v>96.8</v>
      </c>
    </row>
    <row r="1012" spans="1:7" ht="14" x14ac:dyDescent="0.3">
      <c r="A1012" t="s">
        <v>1037</v>
      </c>
      <c r="B1012" t="s">
        <v>8</v>
      </c>
      <c r="C1012">
        <v>9</v>
      </c>
      <c r="D1012">
        <v>16</v>
      </c>
      <c r="E1012">
        <v>2292.2199999999998</v>
      </c>
      <c r="F1012">
        <v>3.19</v>
      </c>
      <c r="G1012">
        <v>100</v>
      </c>
    </row>
    <row r="1013" spans="1:7" ht="14" x14ac:dyDescent="0.3">
      <c r="A1013" t="s">
        <v>1038</v>
      </c>
      <c r="B1013" t="s">
        <v>32</v>
      </c>
      <c r="C1013">
        <v>6</v>
      </c>
      <c r="D1013">
        <v>11</v>
      </c>
      <c r="E1013">
        <v>2289.34</v>
      </c>
      <c r="F1013">
        <v>4.55</v>
      </c>
      <c r="G1013">
        <v>100</v>
      </c>
    </row>
    <row r="1014" spans="1:7" ht="14" x14ac:dyDescent="0.3">
      <c r="A1014" t="s">
        <v>1039</v>
      </c>
      <c r="B1014" t="s">
        <v>32</v>
      </c>
      <c r="C1014">
        <v>9</v>
      </c>
      <c r="D1014">
        <v>10</v>
      </c>
      <c r="E1014">
        <v>2288.31</v>
      </c>
      <c r="F1014">
        <v>2.4</v>
      </c>
      <c r="G1014">
        <v>90</v>
      </c>
    </row>
    <row r="1015" spans="1:7" ht="14" x14ac:dyDescent="0.3">
      <c r="A1015" t="s">
        <v>1040</v>
      </c>
      <c r="B1015" t="s">
        <v>8</v>
      </c>
      <c r="C1015">
        <v>25</v>
      </c>
      <c r="D1015">
        <v>27</v>
      </c>
      <c r="E1015">
        <v>2287.5</v>
      </c>
      <c r="F1015">
        <v>4.5199999999999996</v>
      </c>
      <c r="G1015">
        <v>96.3</v>
      </c>
    </row>
    <row r="1016" spans="1:7" ht="14" x14ac:dyDescent="0.3">
      <c r="A1016" t="s">
        <v>1041</v>
      </c>
      <c r="B1016" t="s">
        <v>8</v>
      </c>
      <c r="C1016">
        <v>26</v>
      </c>
      <c r="D1016">
        <v>27</v>
      </c>
      <c r="E1016">
        <v>2285.8200000000002</v>
      </c>
      <c r="F1016">
        <v>4.4400000000000004</v>
      </c>
      <c r="G1016">
        <v>100</v>
      </c>
    </row>
    <row r="1017" spans="1:7" ht="14" x14ac:dyDescent="0.3">
      <c r="A1017" t="s">
        <v>1042</v>
      </c>
      <c r="B1017" t="s">
        <v>8</v>
      </c>
      <c r="C1017">
        <v>18</v>
      </c>
      <c r="D1017">
        <v>22</v>
      </c>
      <c r="E1017">
        <v>2279.56</v>
      </c>
      <c r="F1017">
        <v>4.6399999999999997</v>
      </c>
      <c r="G1017">
        <v>100</v>
      </c>
    </row>
    <row r="1018" spans="1:7" ht="14" x14ac:dyDescent="0.3">
      <c r="A1018" t="s">
        <v>1043</v>
      </c>
      <c r="B1018" t="s">
        <v>8</v>
      </c>
      <c r="C1018">
        <v>28</v>
      </c>
      <c r="D1018">
        <v>28</v>
      </c>
      <c r="E1018">
        <v>2277.5500000000002</v>
      </c>
      <c r="F1018">
        <v>3.93</v>
      </c>
      <c r="G1018">
        <v>85.7</v>
      </c>
    </row>
    <row r="1019" spans="1:7" ht="14" x14ac:dyDescent="0.3">
      <c r="A1019" t="s">
        <v>1044</v>
      </c>
      <c r="B1019" t="s">
        <v>8</v>
      </c>
      <c r="C1019">
        <v>26</v>
      </c>
      <c r="D1019">
        <v>27</v>
      </c>
      <c r="E1019">
        <v>2274.75</v>
      </c>
      <c r="F1019">
        <v>4.78</v>
      </c>
      <c r="G1019">
        <v>100</v>
      </c>
    </row>
    <row r="1020" spans="1:7" ht="14" x14ac:dyDescent="0.3">
      <c r="A1020" t="s">
        <v>1045</v>
      </c>
      <c r="B1020" t="s">
        <v>8</v>
      </c>
      <c r="C1020">
        <v>19</v>
      </c>
      <c r="D1020">
        <v>23</v>
      </c>
      <c r="E1020">
        <v>2267.88</v>
      </c>
      <c r="F1020">
        <v>3.48</v>
      </c>
      <c r="G1020">
        <v>87</v>
      </c>
    </row>
    <row r="1021" spans="1:7" ht="14" x14ac:dyDescent="0.3">
      <c r="A1021" t="s">
        <v>1046</v>
      </c>
      <c r="B1021" t="s">
        <v>42</v>
      </c>
      <c r="C1021">
        <v>30</v>
      </c>
      <c r="D1021">
        <v>30</v>
      </c>
      <c r="E1021">
        <v>2265.2800000000002</v>
      </c>
      <c r="F1021">
        <v>3.93</v>
      </c>
      <c r="G1021">
        <v>93.3</v>
      </c>
    </row>
    <row r="1022" spans="1:7" ht="14" x14ac:dyDescent="0.3">
      <c r="A1022" t="s">
        <v>1047</v>
      </c>
      <c r="B1022" t="s">
        <v>8</v>
      </c>
      <c r="C1022">
        <v>14</v>
      </c>
      <c r="D1022">
        <v>14</v>
      </c>
      <c r="E1022">
        <v>2259.5500000000002</v>
      </c>
      <c r="F1022">
        <v>4.21</v>
      </c>
      <c r="G1022">
        <v>85.7</v>
      </c>
    </row>
    <row r="1023" spans="1:7" ht="14" x14ac:dyDescent="0.3">
      <c r="A1023" t="s">
        <v>1048</v>
      </c>
      <c r="B1023" t="s">
        <v>8</v>
      </c>
      <c r="C1023">
        <v>35</v>
      </c>
      <c r="D1023">
        <v>43</v>
      </c>
      <c r="E1023">
        <v>2258.9499999999998</v>
      </c>
      <c r="F1023">
        <v>3.49</v>
      </c>
      <c r="G1023">
        <v>93</v>
      </c>
    </row>
    <row r="1024" spans="1:7" ht="14" x14ac:dyDescent="0.3">
      <c r="A1024" t="s">
        <v>1049</v>
      </c>
      <c r="B1024" t="s">
        <v>8</v>
      </c>
      <c r="C1024">
        <v>19</v>
      </c>
      <c r="D1024">
        <v>22</v>
      </c>
      <c r="E1024">
        <v>2250.6999999999998</v>
      </c>
      <c r="F1024">
        <v>4.1399999999999997</v>
      </c>
      <c r="G1024">
        <v>95.5</v>
      </c>
    </row>
    <row r="1025" spans="1:7" ht="14" x14ac:dyDescent="0.3">
      <c r="A1025" t="s">
        <v>1050</v>
      </c>
      <c r="B1025" t="s">
        <v>8</v>
      </c>
      <c r="C1025">
        <v>22</v>
      </c>
      <c r="D1025">
        <v>24</v>
      </c>
      <c r="E1025">
        <v>2247.9299999999998</v>
      </c>
      <c r="F1025">
        <v>4.09</v>
      </c>
      <c r="G1025">
        <v>87.5</v>
      </c>
    </row>
    <row r="1026" spans="1:7" ht="14" x14ac:dyDescent="0.3">
      <c r="A1026" t="s">
        <v>1051</v>
      </c>
      <c r="B1026" t="s">
        <v>8</v>
      </c>
      <c r="C1026">
        <v>17</v>
      </c>
      <c r="D1026">
        <v>28</v>
      </c>
      <c r="E1026">
        <v>2246.9499999999998</v>
      </c>
      <c r="F1026">
        <v>3.82</v>
      </c>
      <c r="G1026">
        <v>85.7</v>
      </c>
    </row>
    <row r="1027" spans="1:7" ht="14" x14ac:dyDescent="0.3">
      <c r="A1027" t="s">
        <v>1052</v>
      </c>
      <c r="B1027" t="s">
        <v>32</v>
      </c>
      <c r="C1027">
        <v>16</v>
      </c>
      <c r="D1027">
        <v>17</v>
      </c>
      <c r="E1027">
        <v>2238.34</v>
      </c>
      <c r="F1027">
        <v>4.12</v>
      </c>
      <c r="G1027">
        <v>94.1</v>
      </c>
    </row>
    <row r="1028" spans="1:7" ht="14" x14ac:dyDescent="0.3">
      <c r="A1028" t="s">
        <v>1053</v>
      </c>
      <c r="B1028" t="s">
        <v>8</v>
      </c>
      <c r="C1028">
        <v>12</v>
      </c>
      <c r="D1028">
        <v>14</v>
      </c>
      <c r="E1028">
        <v>2233.8200000000002</v>
      </c>
      <c r="F1028">
        <v>4.43</v>
      </c>
      <c r="G1028">
        <v>100</v>
      </c>
    </row>
    <row r="1029" spans="1:7" ht="14" x14ac:dyDescent="0.3">
      <c r="A1029" t="s">
        <v>1054</v>
      </c>
      <c r="B1029" t="s">
        <v>42</v>
      </c>
      <c r="C1029">
        <v>5</v>
      </c>
      <c r="D1029">
        <v>5</v>
      </c>
      <c r="E1029">
        <v>2230.12</v>
      </c>
      <c r="F1029">
        <v>4.5999999999999996</v>
      </c>
      <c r="G1029">
        <v>100</v>
      </c>
    </row>
    <row r="1030" spans="1:7" ht="14" x14ac:dyDescent="0.3">
      <c r="A1030" s="1" t="s">
        <v>1055</v>
      </c>
      <c r="B1030" t="s">
        <v>8</v>
      </c>
      <c r="C1030">
        <v>21</v>
      </c>
      <c r="D1030">
        <v>24</v>
      </c>
      <c r="E1030">
        <v>2229.36</v>
      </c>
      <c r="F1030">
        <v>3.54</v>
      </c>
      <c r="G1030">
        <v>79.2</v>
      </c>
    </row>
    <row r="1031" spans="1:7" ht="14" x14ac:dyDescent="0.3">
      <c r="A1031" t="s">
        <v>1056</v>
      </c>
      <c r="B1031" t="s">
        <v>24</v>
      </c>
      <c r="C1031">
        <v>25</v>
      </c>
      <c r="D1031">
        <v>25</v>
      </c>
      <c r="E1031">
        <v>2225.38</v>
      </c>
      <c r="F1031">
        <v>3.88</v>
      </c>
      <c r="G1031">
        <v>92</v>
      </c>
    </row>
    <row r="1032" spans="1:7" ht="14" x14ac:dyDescent="0.3">
      <c r="A1032" t="s">
        <v>1057</v>
      </c>
      <c r="B1032" t="s">
        <v>8</v>
      </c>
      <c r="C1032">
        <v>9</v>
      </c>
      <c r="D1032">
        <v>10</v>
      </c>
      <c r="E1032">
        <v>2222.91</v>
      </c>
      <c r="F1032">
        <v>4.7</v>
      </c>
      <c r="G1032">
        <v>100</v>
      </c>
    </row>
    <row r="1033" spans="1:7" ht="14" x14ac:dyDescent="0.3">
      <c r="A1033" t="s">
        <v>1058</v>
      </c>
      <c r="B1033" t="s">
        <v>32</v>
      </c>
      <c r="C1033">
        <v>4</v>
      </c>
      <c r="D1033">
        <v>4</v>
      </c>
      <c r="E1033">
        <v>2218.19</v>
      </c>
      <c r="F1033">
        <v>5</v>
      </c>
      <c r="G1033">
        <v>100</v>
      </c>
    </row>
    <row r="1034" spans="1:7" ht="14" x14ac:dyDescent="0.3">
      <c r="A1034" t="s">
        <v>1059</v>
      </c>
      <c r="B1034" t="s">
        <v>8</v>
      </c>
      <c r="C1034">
        <v>9</v>
      </c>
      <c r="D1034">
        <v>10</v>
      </c>
      <c r="E1034">
        <v>2218.17</v>
      </c>
      <c r="F1034">
        <v>4.3</v>
      </c>
      <c r="G1034">
        <v>90</v>
      </c>
    </row>
    <row r="1035" spans="1:7" ht="14" x14ac:dyDescent="0.3">
      <c r="A1035" t="s">
        <v>1060</v>
      </c>
      <c r="B1035" t="s">
        <v>42</v>
      </c>
      <c r="C1035">
        <v>11</v>
      </c>
      <c r="D1035">
        <v>12</v>
      </c>
      <c r="E1035">
        <v>2214.0100000000002</v>
      </c>
      <c r="F1035">
        <v>3.5</v>
      </c>
      <c r="G1035">
        <v>75</v>
      </c>
    </row>
    <row r="1036" spans="1:7" ht="14" x14ac:dyDescent="0.3">
      <c r="A1036" t="s">
        <v>1061</v>
      </c>
      <c r="B1036" t="s">
        <v>87</v>
      </c>
      <c r="C1036">
        <v>14</v>
      </c>
      <c r="D1036">
        <v>17</v>
      </c>
      <c r="E1036">
        <v>2213.89</v>
      </c>
      <c r="F1036">
        <v>3.56</v>
      </c>
      <c r="G1036">
        <v>94.1</v>
      </c>
    </row>
    <row r="1037" spans="1:7" ht="14" x14ac:dyDescent="0.3">
      <c r="A1037" t="s">
        <v>1062</v>
      </c>
      <c r="B1037" t="s">
        <v>24</v>
      </c>
      <c r="C1037">
        <v>10</v>
      </c>
      <c r="D1037">
        <v>10</v>
      </c>
      <c r="E1037">
        <v>2212.6</v>
      </c>
      <c r="F1037">
        <v>4.22</v>
      </c>
      <c r="G1037">
        <v>100</v>
      </c>
    </row>
    <row r="1038" spans="1:7" ht="14" x14ac:dyDescent="0.3">
      <c r="A1038" t="s">
        <v>1063</v>
      </c>
      <c r="B1038" t="s">
        <v>8</v>
      </c>
      <c r="C1038">
        <v>6</v>
      </c>
      <c r="D1038">
        <v>7</v>
      </c>
      <c r="E1038">
        <v>2200.5500000000002</v>
      </c>
      <c r="F1038">
        <v>4.43</v>
      </c>
      <c r="G1038">
        <v>100</v>
      </c>
    </row>
    <row r="1039" spans="1:7" ht="14" x14ac:dyDescent="0.3">
      <c r="A1039" t="s">
        <v>1064</v>
      </c>
      <c r="B1039" t="s">
        <v>42</v>
      </c>
      <c r="C1039">
        <v>2</v>
      </c>
      <c r="D1039">
        <v>3</v>
      </c>
      <c r="E1039">
        <v>2197.6</v>
      </c>
      <c r="F1039">
        <v>3.67</v>
      </c>
      <c r="G1039">
        <v>100</v>
      </c>
    </row>
    <row r="1040" spans="1:7" ht="14" x14ac:dyDescent="0.3">
      <c r="A1040" t="s">
        <v>1065</v>
      </c>
      <c r="B1040" t="s">
        <v>8</v>
      </c>
      <c r="C1040">
        <v>8</v>
      </c>
      <c r="D1040">
        <v>9</v>
      </c>
      <c r="E1040">
        <v>2196.04</v>
      </c>
      <c r="F1040">
        <v>2.89</v>
      </c>
      <c r="G1040">
        <v>77.8</v>
      </c>
    </row>
    <row r="1041" spans="1:7" ht="14" x14ac:dyDescent="0.3">
      <c r="A1041" t="s">
        <v>1066</v>
      </c>
      <c r="B1041" t="s">
        <v>8</v>
      </c>
      <c r="C1041">
        <v>25</v>
      </c>
      <c r="D1041">
        <v>35</v>
      </c>
      <c r="E1041">
        <v>2192.85</v>
      </c>
      <c r="F1041">
        <v>4.03</v>
      </c>
      <c r="G1041">
        <v>97.1</v>
      </c>
    </row>
    <row r="1042" spans="1:7" ht="14" x14ac:dyDescent="0.3">
      <c r="A1042" t="s">
        <v>1067</v>
      </c>
      <c r="B1042" t="s">
        <v>8</v>
      </c>
      <c r="C1042">
        <v>8</v>
      </c>
      <c r="D1042">
        <v>9</v>
      </c>
      <c r="E1042">
        <v>2190.66</v>
      </c>
      <c r="F1042">
        <v>4</v>
      </c>
      <c r="G1042">
        <v>77.8</v>
      </c>
    </row>
    <row r="1043" spans="1:7" ht="14" x14ac:dyDescent="0.3">
      <c r="A1043" t="s">
        <v>1068</v>
      </c>
      <c r="B1043" t="s">
        <v>24</v>
      </c>
      <c r="C1043">
        <v>16</v>
      </c>
      <c r="D1043">
        <v>18</v>
      </c>
      <c r="E1043">
        <v>2188.86</v>
      </c>
      <c r="F1043">
        <v>4.33</v>
      </c>
      <c r="G1043">
        <v>94.4</v>
      </c>
    </row>
    <row r="1044" spans="1:7" ht="14" x14ac:dyDescent="0.3">
      <c r="A1044" t="s">
        <v>1069</v>
      </c>
      <c r="B1044" t="s">
        <v>8</v>
      </c>
      <c r="C1044">
        <v>21</v>
      </c>
      <c r="D1044">
        <v>30</v>
      </c>
      <c r="E1044">
        <v>2182.7199999999998</v>
      </c>
      <c r="F1044">
        <v>4.26</v>
      </c>
      <c r="G1044">
        <v>93.3</v>
      </c>
    </row>
    <row r="1045" spans="1:7" ht="14" x14ac:dyDescent="0.3">
      <c r="A1045" t="s">
        <v>1070</v>
      </c>
      <c r="B1045" t="s">
        <v>8</v>
      </c>
      <c r="C1045">
        <v>23</v>
      </c>
      <c r="D1045">
        <v>25</v>
      </c>
      <c r="E1045">
        <v>2167.54</v>
      </c>
      <c r="F1045">
        <v>4.04</v>
      </c>
      <c r="G1045">
        <v>92</v>
      </c>
    </row>
    <row r="1046" spans="1:7" ht="14" x14ac:dyDescent="0.3">
      <c r="A1046" t="s">
        <v>1071</v>
      </c>
      <c r="B1046" t="s">
        <v>8</v>
      </c>
      <c r="C1046">
        <v>21</v>
      </c>
      <c r="D1046">
        <v>24</v>
      </c>
      <c r="E1046">
        <v>2160.85</v>
      </c>
      <c r="F1046">
        <v>4.29</v>
      </c>
      <c r="G1046">
        <v>95.8</v>
      </c>
    </row>
    <row r="1047" spans="1:7" ht="14" x14ac:dyDescent="0.3">
      <c r="A1047" t="s">
        <v>1072</v>
      </c>
      <c r="B1047" t="s">
        <v>22</v>
      </c>
      <c r="C1047">
        <v>6</v>
      </c>
      <c r="D1047">
        <v>6</v>
      </c>
      <c r="E1047">
        <v>2160.4699999999998</v>
      </c>
      <c r="F1047">
        <v>1.4</v>
      </c>
      <c r="G1047">
        <v>83.3</v>
      </c>
    </row>
    <row r="1048" spans="1:7" ht="14" x14ac:dyDescent="0.3">
      <c r="A1048" t="s">
        <v>1073</v>
      </c>
      <c r="B1048" t="s">
        <v>8</v>
      </c>
      <c r="C1048">
        <v>1</v>
      </c>
      <c r="D1048">
        <v>1</v>
      </c>
      <c r="E1048">
        <v>2155.35</v>
      </c>
      <c r="F1048">
        <v>5</v>
      </c>
      <c r="G1048">
        <v>100</v>
      </c>
    </row>
    <row r="1049" spans="1:7" ht="14" x14ac:dyDescent="0.3">
      <c r="A1049" t="s">
        <v>1074</v>
      </c>
      <c r="B1049" t="s">
        <v>8</v>
      </c>
      <c r="C1049">
        <v>7</v>
      </c>
      <c r="D1049">
        <v>14</v>
      </c>
      <c r="E1049">
        <v>2154.77</v>
      </c>
      <c r="F1049">
        <v>4.07</v>
      </c>
      <c r="G1049">
        <v>100</v>
      </c>
    </row>
    <row r="1050" spans="1:7" ht="14" x14ac:dyDescent="0.3">
      <c r="A1050" t="s">
        <v>1075</v>
      </c>
      <c r="B1050" t="s">
        <v>22</v>
      </c>
      <c r="C1050">
        <v>9</v>
      </c>
      <c r="D1050">
        <v>9</v>
      </c>
      <c r="E1050">
        <v>2150.04</v>
      </c>
      <c r="F1050">
        <v>4.22</v>
      </c>
      <c r="G1050">
        <v>77.8</v>
      </c>
    </row>
    <row r="1051" spans="1:7" ht="14" x14ac:dyDescent="0.3">
      <c r="A1051" t="s">
        <v>1076</v>
      </c>
      <c r="B1051" t="s">
        <v>8</v>
      </c>
      <c r="C1051">
        <v>10</v>
      </c>
      <c r="D1051">
        <v>12</v>
      </c>
      <c r="E1051">
        <v>2142.85</v>
      </c>
      <c r="F1051">
        <v>3.67</v>
      </c>
      <c r="G1051">
        <v>91.7</v>
      </c>
    </row>
    <row r="1052" spans="1:7" ht="14" x14ac:dyDescent="0.3">
      <c r="A1052" t="s">
        <v>1077</v>
      </c>
      <c r="B1052" t="s">
        <v>32</v>
      </c>
      <c r="C1052">
        <v>13</v>
      </c>
      <c r="D1052">
        <v>13</v>
      </c>
      <c r="E1052">
        <v>2137.98</v>
      </c>
      <c r="F1052">
        <v>4.6900000000000004</v>
      </c>
      <c r="G1052">
        <v>100</v>
      </c>
    </row>
    <row r="1053" spans="1:7" ht="14" x14ac:dyDescent="0.3">
      <c r="A1053" t="s">
        <v>1078</v>
      </c>
      <c r="B1053" t="s">
        <v>8</v>
      </c>
      <c r="C1053">
        <v>46</v>
      </c>
      <c r="D1053">
        <v>50</v>
      </c>
      <c r="E1053">
        <v>2135.6799999999998</v>
      </c>
      <c r="F1053">
        <v>4.58</v>
      </c>
      <c r="G1053">
        <v>94</v>
      </c>
    </row>
    <row r="1054" spans="1:7" ht="14" x14ac:dyDescent="0.3">
      <c r="A1054" t="s">
        <v>1079</v>
      </c>
      <c r="B1054" t="s">
        <v>32</v>
      </c>
      <c r="C1054">
        <v>15</v>
      </c>
      <c r="D1054">
        <v>16</v>
      </c>
      <c r="E1054">
        <v>2126.61</v>
      </c>
      <c r="F1054">
        <v>3.5</v>
      </c>
      <c r="G1054">
        <v>87.5</v>
      </c>
    </row>
    <row r="1055" spans="1:7" ht="14" x14ac:dyDescent="0.3">
      <c r="A1055" t="s">
        <v>1080</v>
      </c>
      <c r="B1055" t="s">
        <v>32</v>
      </c>
      <c r="C1055">
        <v>18</v>
      </c>
      <c r="D1055">
        <v>20</v>
      </c>
      <c r="E1055">
        <v>2122.13</v>
      </c>
      <c r="F1055">
        <v>4.55</v>
      </c>
      <c r="G1055">
        <v>100</v>
      </c>
    </row>
    <row r="1056" spans="1:7" ht="14" x14ac:dyDescent="0.3">
      <c r="A1056" t="s">
        <v>1081</v>
      </c>
      <c r="B1056" t="s">
        <v>22</v>
      </c>
      <c r="C1056">
        <v>6</v>
      </c>
      <c r="D1056">
        <v>6</v>
      </c>
      <c r="E1056">
        <v>2117.09</v>
      </c>
      <c r="F1056">
        <v>3.83</v>
      </c>
      <c r="G1056">
        <v>100</v>
      </c>
    </row>
    <row r="1057" spans="1:7" ht="14" x14ac:dyDescent="0.3">
      <c r="A1057" t="s">
        <v>1082</v>
      </c>
      <c r="B1057" t="s">
        <v>8</v>
      </c>
      <c r="C1057">
        <v>53</v>
      </c>
      <c r="D1057">
        <v>58</v>
      </c>
      <c r="E1057">
        <v>2109.15</v>
      </c>
      <c r="F1057">
        <v>4.62</v>
      </c>
      <c r="G1057">
        <v>94.8</v>
      </c>
    </row>
    <row r="1058" spans="1:7" ht="14" x14ac:dyDescent="0.3">
      <c r="A1058" t="s">
        <v>1083</v>
      </c>
      <c r="B1058" t="s">
        <v>152</v>
      </c>
      <c r="C1058">
        <v>20</v>
      </c>
      <c r="D1058">
        <v>20</v>
      </c>
      <c r="E1058">
        <v>2101.8200000000002</v>
      </c>
      <c r="F1058">
        <v>4.0999999999999996</v>
      </c>
      <c r="G1058">
        <v>90</v>
      </c>
    </row>
    <row r="1059" spans="1:7" ht="14" x14ac:dyDescent="0.3">
      <c r="A1059" t="s">
        <v>1084</v>
      </c>
      <c r="B1059" t="s">
        <v>42</v>
      </c>
      <c r="C1059">
        <v>10</v>
      </c>
      <c r="D1059">
        <v>15</v>
      </c>
      <c r="E1059">
        <v>2101.48</v>
      </c>
      <c r="F1059">
        <v>2.93</v>
      </c>
      <c r="G1059">
        <v>100</v>
      </c>
    </row>
    <row r="1060" spans="1:7" ht="14" x14ac:dyDescent="0.3">
      <c r="A1060" t="s">
        <v>1085</v>
      </c>
      <c r="B1060" t="s">
        <v>8</v>
      </c>
      <c r="C1060">
        <v>16</v>
      </c>
      <c r="D1060">
        <v>17</v>
      </c>
      <c r="E1060">
        <v>2101.35</v>
      </c>
      <c r="F1060">
        <v>3.94</v>
      </c>
      <c r="G1060">
        <v>88.2</v>
      </c>
    </row>
    <row r="1061" spans="1:7" ht="14" x14ac:dyDescent="0.3">
      <c r="A1061" t="s">
        <v>1086</v>
      </c>
      <c r="B1061" t="s">
        <v>8</v>
      </c>
      <c r="C1061">
        <v>12</v>
      </c>
      <c r="D1061">
        <v>14</v>
      </c>
      <c r="E1061">
        <v>2097.36</v>
      </c>
      <c r="F1061">
        <v>4.3600000000000003</v>
      </c>
      <c r="G1061">
        <v>100</v>
      </c>
    </row>
    <row r="1062" spans="1:7" ht="14" x14ac:dyDescent="0.3">
      <c r="A1062" t="s">
        <v>1087</v>
      </c>
      <c r="B1062" t="s">
        <v>32</v>
      </c>
      <c r="C1062">
        <v>28</v>
      </c>
      <c r="D1062">
        <v>34</v>
      </c>
      <c r="E1062">
        <v>2091.77</v>
      </c>
      <c r="F1062">
        <v>4.53</v>
      </c>
      <c r="G1062">
        <v>91.2</v>
      </c>
    </row>
    <row r="1063" spans="1:7" ht="14" x14ac:dyDescent="0.3">
      <c r="A1063" s="1" t="s">
        <v>1088</v>
      </c>
      <c r="B1063" t="s">
        <v>32</v>
      </c>
      <c r="C1063">
        <v>23</v>
      </c>
      <c r="D1063">
        <v>26</v>
      </c>
      <c r="E1063">
        <v>2089.37</v>
      </c>
      <c r="F1063">
        <v>4.7300000000000004</v>
      </c>
      <c r="G1063">
        <v>100</v>
      </c>
    </row>
    <row r="1064" spans="1:7" ht="14" x14ac:dyDescent="0.3">
      <c r="A1064" t="s">
        <v>1089</v>
      </c>
      <c r="B1064" t="s">
        <v>8</v>
      </c>
      <c r="C1064">
        <v>3</v>
      </c>
      <c r="D1064">
        <v>3</v>
      </c>
      <c r="E1064">
        <v>2084.73</v>
      </c>
      <c r="F1064">
        <v>2.67</v>
      </c>
      <c r="G1064">
        <v>100</v>
      </c>
    </row>
    <row r="1065" spans="1:7" ht="14" x14ac:dyDescent="0.3">
      <c r="A1065" t="s">
        <v>1090</v>
      </c>
      <c r="B1065" t="s">
        <v>8</v>
      </c>
      <c r="C1065">
        <v>11</v>
      </c>
      <c r="D1065">
        <v>12</v>
      </c>
      <c r="E1065">
        <v>2068.8000000000002</v>
      </c>
      <c r="F1065">
        <v>3.55</v>
      </c>
      <c r="G1065">
        <v>83.3</v>
      </c>
    </row>
    <row r="1066" spans="1:7" ht="14" x14ac:dyDescent="0.3">
      <c r="A1066" t="s">
        <v>1091</v>
      </c>
      <c r="B1066" t="s">
        <v>8</v>
      </c>
      <c r="C1066">
        <v>11</v>
      </c>
      <c r="D1066">
        <v>11</v>
      </c>
      <c r="E1066">
        <v>2058.46</v>
      </c>
      <c r="F1066">
        <v>4.2699999999999996</v>
      </c>
      <c r="G1066">
        <v>90.9</v>
      </c>
    </row>
    <row r="1067" spans="1:7" ht="14" x14ac:dyDescent="0.3">
      <c r="A1067" t="s">
        <v>1092</v>
      </c>
      <c r="B1067" t="s">
        <v>152</v>
      </c>
      <c r="C1067">
        <v>24</v>
      </c>
      <c r="D1067">
        <v>29</v>
      </c>
      <c r="E1067">
        <v>2054.52</v>
      </c>
      <c r="F1067">
        <v>4.4800000000000004</v>
      </c>
      <c r="G1067">
        <v>89.7</v>
      </c>
    </row>
    <row r="1068" spans="1:7" ht="14" x14ac:dyDescent="0.3">
      <c r="A1068" t="s">
        <v>1093</v>
      </c>
      <c r="B1068" t="s">
        <v>8</v>
      </c>
      <c r="C1068">
        <v>20</v>
      </c>
      <c r="D1068">
        <v>26</v>
      </c>
      <c r="E1068">
        <v>2052.54</v>
      </c>
      <c r="F1068">
        <v>3.19</v>
      </c>
      <c r="G1068">
        <v>76.900000000000006</v>
      </c>
    </row>
    <row r="1069" spans="1:7" ht="14" x14ac:dyDescent="0.3">
      <c r="A1069" t="s">
        <v>1094</v>
      </c>
      <c r="B1069" t="s">
        <v>22</v>
      </c>
      <c r="C1069">
        <v>8</v>
      </c>
      <c r="D1069">
        <v>9</v>
      </c>
      <c r="E1069">
        <v>2049.81</v>
      </c>
      <c r="F1069">
        <v>4.63</v>
      </c>
      <c r="G1069">
        <v>66.7</v>
      </c>
    </row>
    <row r="1070" spans="1:7" ht="14" x14ac:dyDescent="0.3">
      <c r="A1070" s="1" t="s">
        <v>1095</v>
      </c>
      <c r="B1070" t="s">
        <v>22</v>
      </c>
      <c r="C1070">
        <v>21</v>
      </c>
      <c r="D1070">
        <v>24</v>
      </c>
      <c r="E1070">
        <v>2045.24</v>
      </c>
      <c r="F1070">
        <v>3.83</v>
      </c>
      <c r="G1070">
        <v>100</v>
      </c>
    </row>
    <row r="1071" spans="1:7" ht="14" x14ac:dyDescent="0.3">
      <c r="A1071" t="s">
        <v>1096</v>
      </c>
      <c r="B1071" t="s">
        <v>8</v>
      </c>
      <c r="C1071">
        <v>25</v>
      </c>
      <c r="D1071">
        <v>26</v>
      </c>
      <c r="E1071">
        <v>2038.59</v>
      </c>
      <c r="F1071">
        <v>4.5</v>
      </c>
      <c r="G1071">
        <v>100</v>
      </c>
    </row>
    <row r="1072" spans="1:7" ht="14" x14ac:dyDescent="0.3">
      <c r="A1072" t="s">
        <v>1097</v>
      </c>
      <c r="B1072" t="s">
        <v>32</v>
      </c>
      <c r="C1072">
        <v>21</v>
      </c>
      <c r="D1072">
        <v>24</v>
      </c>
      <c r="E1072">
        <v>2033.27</v>
      </c>
      <c r="F1072">
        <v>4.75</v>
      </c>
      <c r="G1072">
        <v>100</v>
      </c>
    </row>
    <row r="1073" spans="1:7" ht="14" x14ac:dyDescent="0.3">
      <c r="A1073" t="s">
        <v>1098</v>
      </c>
      <c r="B1073" t="s">
        <v>42</v>
      </c>
      <c r="C1073">
        <v>1</v>
      </c>
      <c r="D1073">
        <v>1</v>
      </c>
      <c r="E1073">
        <v>2028.75</v>
      </c>
      <c r="F1073">
        <v>5</v>
      </c>
      <c r="G1073">
        <v>100</v>
      </c>
    </row>
    <row r="1074" spans="1:7" ht="14" x14ac:dyDescent="0.3">
      <c r="A1074" t="s">
        <v>1099</v>
      </c>
      <c r="B1074" t="s">
        <v>32</v>
      </c>
      <c r="C1074">
        <v>2</v>
      </c>
      <c r="D1074">
        <v>4</v>
      </c>
      <c r="E1074">
        <v>2027.4</v>
      </c>
      <c r="F1074">
        <v>5</v>
      </c>
      <c r="G1074">
        <v>100</v>
      </c>
    </row>
    <row r="1075" spans="1:7" ht="14" x14ac:dyDescent="0.3">
      <c r="A1075" t="s">
        <v>1100</v>
      </c>
      <c r="B1075" t="s">
        <v>8</v>
      </c>
      <c r="C1075">
        <v>7</v>
      </c>
      <c r="D1075">
        <v>11</v>
      </c>
      <c r="E1075">
        <v>2021.2</v>
      </c>
      <c r="F1075">
        <v>4.6399999999999997</v>
      </c>
      <c r="G1075">
        <v>72.7</v>
      </c>
    </row>
    <row r="1076" spans="1:7" ht="14" x14ac:dyDescent="0.3">
      <c r="A1076" t="s">
        <v>1101</v>
      </c>
      <c r="B1076" t="s">
        <v>152</v>
      </c>
      <c r="C1076">
        <v>8</v>
      </c>
      <c r="D1076">
        <v>8</v>
      </c>
      <c r="E1076">
        <v>2019.22</v>
      </c>
      <c r="F1076">
        <v>5</v>
      </c>
      <c r="G1076">
        <v>100</v>
      </c>
    </row>
    <row r="1077" spans="1:7" ht="14" x14ac:dyDescent="0.3">
      <c r="A1077" t="s">
        <v>1102</v>
      </c>
      <c r="B1077" t="s">
        <v>87</v>
      </c>
      <c r="C1077">
        <v>5</v>
      </c>
      <c r="D1077">
        <v>5</v>
      </c>
      <c r="E1077">
        <v>2012.56</v>
      </c>
      <c r="F1077">
        <v>4.4000000000000004</v>
      </c>
      <c r="G1077">
        <v>100</v>
      </c>
    </row>
    <row r="1078" spans="1:7" ht="14" x14ac:dyDescent="0.3">
      <c r="A1078" t="s">
        <v>1103</v>
      </c>
      <c r="B1078" t="s">
        <v>87</v>
      </c>
      <c r="C1078">
        <v>17</v>
      </c>
      <c r="D1078">
        <v>18</v>
      </c>
      <c r="E1078">
        <v>1996.58</v>
      </c>
      <c r="F1078">
        <v>4.4400000000000004</v>
      </c>
      <c r="G1078">
        <v>94.4</v>
      </c>
    </row>
    <row r="1079" spans="1:7" ht="14" x14ac:dyDescent="0.3">
      <c r="A1079" t="s">
        <v>1104</v>
      </c>
      <c r="B1079" t="s">
        <v>8</v>
      </c>
      <c r="C1079">
        <v>50</v>
      </c>
      <c r="D1079">
        <v>54</v>
      </c>
      <c r="E1079">
        <v>1995.16</v>
      </c>
      <c r="F1079">
        <v>4.04</v>
      </c>
      <c r="G1079">
        <v>83.3</v>
      </c>
    </row>
    <row r="1080" spans="1:7" ht="14" x14ac:dyDescent="0.3">
      <c r="A1080" t="s">
        <v>1105</v>
      </c>
      <c r="B1080" t="s">
        <v>22</v>
      </c>
      <c r="C1080">
        <v>11</v>
      </c>
      <c r="D1080">
        <v>18</v>
      </c>
      <c r="E1080">
        <v>1994.93</v>
      </c>
      <c r="F1080">
        <v>3.17</v>
      </c>
      <c r="G1080">
        <v>88.9</v>
      </c>
    </row>
    <row r="1081" spans="1:7" ht="14" x14ac:dyDescent="0.3">
      <c r="A1081" t="s">
        <v>1106</v>
      </c>
      <c r="B1081" t="s">
        <v>309</v>
      </c>
      <c r="C1081">
        <v>38</v>
      </c>
      <c r="D1081">
        <v>41</v>
      </c>
      <c r="E1081">
        <v>1994.45</v>
      </c>
      <c r="F1081">
        <v>4.49</v>
      </c>
      <c r="G1081">
        <v>95.1</v>
      </c>
    </row>
    <row r="1082" spans="1:7" ht="14" x14ac:dyDescent="0.3">
      <c r="A1082" t="s">
        <v>1107</v>
      </c>
      <c r="B1082" t="s">
        <v>42</v>
      </c>
      <c r="C1082">
        <v>6</v>
      </c>
      <c r="D1082">
        <v>6</v>
      </c>
      <c r="E1082">
        <v>1994.26</v>
      </c>
      <c r="F1082">
        <v>4.67</v>
      </c>
      <c r="G1082">
        <v>100</v>
      </c>
    </row>
    <row r="1083" spans="1:7" ht="14" x14ac:dyDescent="0.3">
      <c r="A1083" t="s">
        <v>1108</v>
      </c>
      <c r="B1083" t="s">
        <v>8</v>
      </c>
      <c r="C1083">
        <v>12</v>
      </c>
      <c r="D1083">
        <v>17</v>
      </c>
      <c r="E1083">
        <v>1994.09</v>
      </c>
      <c r="F1083">
        <v>3.47</v>
      </c>
      <c r="G1083">
        <v>76.5</v>
      </c>
    </row>
    <row r="1084" spans="1:7" ht="14" x14ac:dyDescent="0.3">
      <c r="A1084" t="s">
        <v>1109</v>
      </c>
      <c r="B1084" t="s">
        <v>8</v>
      </c>
      <c r="C1084">
        <v>10</v>
      </c>
      <c r="D1084">
        <v>10</v>
      </c>
      <c r="E1084">
        <v>1992.91</v>
      </c>
      <c r="F1084">
        <v>4.9000000000000004</v>
      </c>
      <c r="G1084">
        <v>90</v>
      </c>
    </row>
    <row r="1085" spans="1:7" ht="14" x14ac:dyDescent="0.3">
      <c r="A1085" t="s">
        <v>1110</v>
      </c>
      <c r="B1085" t="s">
        <v>22</v>
      </c>
      <c r="C1085">
        <v>11</v>
      </c>
      <c r="D1085">
        <v>12</v>
      </c>
      <c r="E1085">
        <v>1983.82</v>
      </c>
      <c r="F1085">
        <v>3.58</v>
      </c>
      <c r="G1085">
        <v>91.7</v>
      </c>
    </row>
    <row r="1086" spans="1:7" ht="14" x14ac:dyDescent="0.3">
      <c r="A1086" t="s">
        <v>1111</v>
      </c>
      <c r="B1086" t="s">
        <v>8</v>
      </c>
      <c r="C1086">
        <v>8</v>
      </c>
      <c r="D1086">
        <v>8</v>
      </c>
      <c r="E1086">
        <v>1983.29</v>
      </c>
      <c r="F1086">
        <v>4.25</v>
      </c>
      <c r="G1086">
        <v>87.5</v>
      </c>
    </row>
    <row r="1087" spans="1:7" ht="14" x14ac:dyDescent="0.3">
      <c r="A1087" t="s">
        <v>1112</v>
      </c>
      <c r="B1087" t="s">
        <v>8</v>
      </c>
      <c r="C1087">
        <v>19</v>
      </c>
      <c r="D1087">
        <v>19</v>
      </c>
      <c r="E1087">
        <v>1978.23</v>
      </c>
      <c r="F1087">
        <v>4.05</v>
      </c>
      <c r="G1087">
        <v>100</v>
      </c>
    </row>
    <row r="1088" spans="1:7" ht="14" x14ac:dyDescent="0.3">
      <c r="A1088" t="s">
        <v>1113</v>
      </c>
      <c r="B1088" t="s">
        <v>8</v>
      </c>
      <c r="C1088">
        <v>14</v>
      </c>
      <c r="D1088">
        <v>15</v>
      </c>
      <c r="E1088">
        <v>1973.62</v>
      </c>
      <c r="F1088">
        <v>4.47</v>
      </c>
      <c r="G1088">
        <v>86.7</v>
      </c>
    </row>
    <row r="1089" spans="1:7" ht="14" x14ac:dyDescent="0.3">
      <c r="A1089" t="s">
        <v>1114</v>
      </c>
      <c r="B1089" t="s">
        <v>101</v>
      </c>
      <c r="C1089">
        <v>8</v>
      </c>
      <c r="D1089">
        <v>10</v>
      </c>
      <c r="E1089">
        <v>1972.08</v>
      </c>
      <c r="F1089">
        <v>4.0999999999999996</v>
      </c>
      <c r="G1089">
        <v>80</v>
      </c>
    </row>
    <row r="1090" spans="1:7" ht="14" x14ac:dyDescent="0.3">
      <c r="A1090" t="s">
        <v>1115</v>
      </c>
      <c r="B1090" t="s">
        <v>8</v>
      </c>
      <c r="C1090">
        <v>17</v>
      </c>
      <c r="D1090">
        <v>22</v>
      </c>
      <c r="E1090">
        <v>1969.04</v>
      </c>
      <c r="F1090">
        <v>3.68</v>
      </c>
      <c r="G1090">
        <v>86.4</v>
      </c>
    </row>
    <row r="1091" spans="1:7" ht="14" x14ac:dyDescent="0.3">
      <c r="A1091" t="s">
        <v>1116</v>
      </c>
      <c r="B1091" t="s">
        <v>8</v>
      </c>
      <c r="C1091">
        <v>13</v>
      </c>
      <c r="D1091">
        <v>13</v>
      </c>
      <c r="E1091">
        <v>1967.58</v>
      </c>
      <c r="F1091">
        <v>4.46</v>
      </c>
      <c r="G1091">
        <v>100</v>
      </c>
    </row>
    <row r="1092" spans="1:7" ht="14" x14ac:dyDescent="0.3">
      <c r="A1092" t="s">
        <v>1117</v>
      </c>
      <c r="B1092" t="s">
        <v>101</v>
      </c>
      <c r="C1092">
        <v>4</v>
      </c>
      <c r="D1092">
        <v>4</v>
      </c>
      <c r="E1092">
        <v>1962.41</v>
      </c>
      <c r="F1092">
        <v>4.25</v>
      </c>
      <c r="G1092">
        <v>50</v>
      </c>
    </row>
    <row r="1093" spans="1:7" ht="14" x14ac:dyDescent="0.3">
      <c r="A1093" t="s">
        <v>1118</v>
      </c>
      <c r="B1093" t="s">
        <v>22</v>
      </c>
      <c r="C1093">
        <v>4</v>
      </c>
      <c r="D1093">
        <v>5</v>
      </c>
      <c r="E1093">
        <v>1960.97</v>
      </c>
      <c r="F1093">
        <v>4.5999999999999996</v>
      </c>
      <c r="G1093">
        <v>100</v>
      </c>
    </row>
    <row r="1094" spans="1:7" ht="14" x14ac:dyDescent="0.3">
      <c r="A1094" t="s">
        <v>1119</v>
      </c>
      <c r="B1094" t="s">
        <v>42</v>
      </c>
      <c r="C1094">
        <v>7</v>
      </c>
      <c r="D1094">
        <v>13</v>
      </c>
      <c r="E1094">
        <v>1956.67</v>
      </c>
      <c r="F1094">
        <v>3.77</v>
      </c>
      <c r="G1094">
        <v>76.900000000000006</v>
      </c>
    </row>
    <row r="1095" spans="1:7" ht="14" x14ac:dyDescent="0.3">
      <c r="A1095" t="s">
        <v>1120</v>
      </c>
      <c r="B1095" t="s">
        <v>8</v>
      </c>
      <c r="C1095">
        <v>12</v>
      </c>
      <c r="D1095">
        <v>12</v>
      </c>
      <c r="E1095">
        <v>1956.3</v>
      </c>
      <c r="F1095">
        <v>4.58</v>
      </c>
      <c r="G1095">
        <v>100</v>
      </c>
    </row>
    <row r="1096" spans="1:7" ht="14" x14ac:dyDescent="0.3">
      <c r="A1096" t="s">
        <v>1121</v>
      </c>
      <c r="B1096" t="s">
        <v>32</v>
      </c>
      <c r="C1096">
        <v>7</v>
      </c>
      <c r="D1096">
        <v>7</v>
      </c>
      <c r="E1096">
        <v>1955.12</v>
      </c>
      <c r="F1096">
        <v>4.71</v>
      </c>
      <c r="G1096">
        <v>100</v>
      </c>
    </row>
    <row r="1097" spans="1:7" ht="14" x14ac:dyDescent="0.3">
      <c r="A1097" t="s">
        <v>1122</v>
      </c>
      <c r="B1097" t="s">
        <v>8</v>
      </c>
      <c r="C1097">
        <v>7</v>
      </c>
      <c r="D1097">
        <v>7</v>
      </c>
      <c r="E1097">
        <v>1953.41</v>
      </c>
      <c r="F1097">
        <v>4.1399999999999997</v>
      </c>
      <c r="G1097">
        <v>85.7</v>
      </c>
    </row>
    <row r="1098" spans="1:7" ht="14" x14ac:dyDescent="0.3">
      <c r="A1098" t="s">
        <v>1123</v>
      </c>
      <c r="B1098" t="s">
        <v>8</v>
      </c>
      <c r="C1098">
        <v>27</v>
      </c>
      <c r="D1098">
        <v>30</v>
      </c>
      <c r="E1098">
        <v>1950.22</v>
      </c>
      <c r="F1098">
        <v>4.3</v>
      </c>
      <c r="G1098">
        <v>93.3</v>
      </c>
    </row>
    <row r="1099" spans="1:7" ht="14" x14ac:dyDescent="0.3">
      <c r="A1099" t="s">
        <v>1124</v>
      </c>
      <c r="B1099" t="s">
        <v>42</v>
      </c>
      <c r="C1099">
        <v>14</v>
      </c>
      <c r="D1099">
        <v>16</v>
      </c>
      <c r="E1099">
        <v>1946.45</v>
      </c>
      <c r="F1099">
        <v>4.0599999999999996</v>
      </c>
      <c r="G1099">
        <v>100</v>
      </c>
    </row>
    <row r="1100" spans="1:7" ht="14" x14ac:dyDescent="0.3">
      <c r="A1100" t="s">
        <v>1125</v>
      </c>
      <c r="B1100" t="s">
        <v>8</v>
      </c>
      <c r="C1100">
        <v>7</v>
      </c>
      <c r="D1100">
        <v>7</v>
      </c>
      <c r="E1100">
        <v>1945.29</v>
      </c>
      <c r="F1100">
        <v>3.57</v>
      </c>
      <c r="G1100">
        <v>85.7</v>
      </c>
    </row>
    <row r="1101" spans="1:7" ht="14" x14ac:dyDescent="0.3">
      <c r="A1101" t="s">
        <v>1126</v>
      </c>
      <c r="B1101" t="s">
        <v>8</v>
      </c>
      <c r="C1101">
        <v>9</v>
      </c>
      <c r="D1101">
        <v>14</v>
      </c>
      <c r="E1101">
        <v>1944.03</v>
      </c>
      <c r="F1101">
        <v>4.79</v>
      </c>
      <c r="G1101">
        <v>100</v>
      </c>
    </row>
    <row r="1102" spans="1:7" ht="14" x14ac:dyDescent="0.3">
      <c r="A1102" t="s">
        <v>1127</v>
      </c>
      <c r="B1102" t="s">
        <v>32</v>
      </c>
      <c r="C1102">
        <v>18</v>
      </c>
      <c r="D1102">
        <v>18</v>
      </c>
      <c r="E1102">
        <v>1933.62</v>
      </c>
      <c r="F1102">
        <v>4.59</v>
      </c>
      <c r="G1102">
        <v>100</v>
      </c>
    </row>
    <row r="1103" spans="1:7" ht="14" x14ac:dyDescent="0.3">
      <c r="A1103" t="s">
        <v>1128</v>
      </c>
      <c r="B1103" t="s">
        <v>8</v>
      </c>
      <c r="C1103">
        <v>41</v>
      </c>
      <c r="D1103">
        <v>42</v>
      </c>
      <c r="E1103">
        <v>1928.21</v>
      </c>
      <c r="F1103">
        <v>4.33</v>
      </c>
      <c r="G1103">
        <v>95.2</v>
      </c>
    </row>
    <row r="1104" spans="1:7" ht="14" x14ac:dyDescent="0.3">
      <c r="A1104" t="s">
        <v>1129</v>
      </c>
      <c r="B1104" t="s">
        <v>8</v>
      </c>
      <c r="C1104">
        <v>5</v>
      </c>
      <c r="D1104">
        <v>5</v>
      </c>
      <c r="E1104">
        <v>1924.15</v>
      </c>
      <c r="F1104">
        <v>4</v>
      </c>
      <c r="G1104">
        <v>100</v>
      </c>
    </row>
    <row r="1105" spans="1:7" ht="14" x14ac:dyDescent="0.3">
      <c r="A1105" t="s">
        <v>1130</v>
      </c>
      <c r="B1105" t="s">
        <v>8</v>
      </c>
      <c r="C1105">
        <v>12</v>
      </c>
      <c r="D1105">
        <v>14</v>
      </c>
      <c r="E1105">
        <v>1923.87</v>
      </c>
      <c r="F1105">
        <v>3</v>
      </c>
      <c r="G1105">
        <v>64.3</v>
      </c>
    </row>
    <row r="1106" spans="1:7" ht="14" x14ac:dyDescent="0.3">
      <c r="A1106" t="s">
        <v>1131</v>
      </c>
      <c r="B1106" t="s">
        <v>8</v>
      </c>
      <c r="C1106">
        <v>13</v>
      </c>
      <c r="D1106">
        <v>14</v>
      </c>
      <c r="E1106">
        <v>1910.87</v>
      </c>
      <c r="F1106">
        <v>4.29</v>
      </c>
      <c r="G1106">
        <v>92.9</v>
      </c>
    </row>
    <row r="1107" spans="1:7" ht="14" x14ac:dyDescent="0.3">
      <c r="A1107" t="s">
        <v>1132</v>
      </c>
      <c r="B1107" t="s">
        <v>8</v>
      </c>
      <c r="C1107">
        <v>6</v>
      </c>
      <c r="D1107">
        <v>8</v>
      </c>
      <c r="E1107">
        <v>1909.55</v>
      </c>
      <c r="F1107">
        <v>3.5</v>
      </c>
      <c r="G1107">
        <v>100</v>
      </c>
    </row>
    <row r="1108" spans="1:7" ht="14" x14ac:dyDescent="0.3">
      <c r="A1108" t="s">
        <v>1133</v>
      </c>
      <c r="B1108" t="s">
        <v>8</v>
      </c>
      <c r="C1108">
        <v>35</v>
      </c>
      <c r="D1108">
        <v>43</v>
      </c>
      <c r="E1108">
        <v>1907.61</v>
      </c>
      <c r="F1108">
        <v>4.49</v>
      </c>
      <c r="G1108">
        <v>100</v>
      </c>
    </row>
    <row r="1109" spans="1:7" ht="14" x14ac:dyDescent="0.3">
      <c r="A1109" t="s">
        <v>1134</v>
      </c>
      <c r="B1109" t="s">
        <v>8</v>
      </c>
      <c r="C1109">
        <v>22</v>
      </c>
      <c r="D1109">
        <v>24</v>
      </c>
      <c r="E1109">
        <v>1902.72</v>
      </c>
      <c r="F1109">
        <v>3.92</v>
      </c>
      <c r="G1109">
        <v>91.7</v>
      </c>
    </row>
    <row r="1110" spans="1:7" ht="14" x14ac:dyDescent="0.3">
      <c r="A1110" t="s">
        <v>1135</v>
      </c>
      <c r="B1110" t="s">
        <v>8</v>
      </c>
      <c r="C1110">
        <v>11</v>
      </c>
      <c r="D1110">
        <v>11</v>
      </c>
      <c r="E1110">
        <v>1900.09</v>
      </c>
      <c r="F1110">
        <v>4.18</v>
      </c>
      <c r="G1110">
        <v>90.9</v>
      </c>
    </row>
    <row r="1111" spans="1:7" ht="14" x14ac:dyDescent="0.3">
      <c r="A1111" t="s">
        <v>1136</v>
      </c>
      <c r="B1111" t="s">
        <v>8</v>
      </c>
      <c r="C1111">
        <v>12</v>
      </c>
      <c r="D1111">
        <v>12</v>
      </c>
      <c r="E1111">
        <v>1899.96</v>
      </c>
      <c r="F1111">
        <v>3.08</v>
      </c>
      <c r="G1111">
        <v>75</v>
      </c>
    </row>
    <row r="1112" spans="1:7" ht="14" x14ac:dyDescent="0.3">
      <c r="A1112" t="s">
        <v>1137</v>
      </c>
      <c r="B1112" t="s">
        <v>87</v>
      </c>
      <c r="C1112">
        <v>11</v>
      </c>
      <c r="D1112">
        <v>21</v>
      </c>
      <c r="E1112">
        <v>1891.3</v>
      </c>
      <c r="F1112">
        <v>2.9</v>
      </c>
      <c r="G1112">
        <v>95.2</v>
      </c>
    </row>
    <row r="1113" spans="1:7" ht="14" x14ac:dyDescent="0.3">
      <c r="A1113" t="s">
        <v>1138</v>
      </c>
      <c r="B1113" t="s">
        <v>8</v>
      </c>
      <c r="C1113">
        <v>19</v>
      </c>
      <c r="D1113">
        <v>21</v>
      </c>
      <c r="E1113">
        <v>1888.83</v>
      </c>
      <c r="F1113">
        <v>3.48</v>
      </c>
      <c r="G1113">
        <v>90.5</v>
      </c>
    </row>
    <row r="1114" spans="1:7" ht="14" x14ac:dyDescent="0.3">
      <c r="A1114" t="s">
        <v>1139</v>
      </c>
      <c r="B1114" t="s">
        <v>8</v>
      </c>
      <c r="C1114">
        <v>16</v>
      </c>
      <c r="D1114">
        <v>16</v>
      </c>
      <c r="E1114">
        <v>1888.64</v>
      </c>
      <c r="F1114">
        <v>4.63</v>
      </c>
      <c r="G1114">
        <v>100</v>
      </c>
    </row>
    <row r="1115" spans="1:7" ht="14" x14ac:dyDescent="0.3">
      <c r="A1115" t="s">
        <v>1140</v>
      </c>
      <c r="B1115" t="s">
        <v>22</v>
      </c>
      <c r="C1115">
        <v>11</v>
      </c>
      <c r="D1115">
        <v>12</v>
      </c>
      <c r="E1115">
        <v>1888.44</v>
      </c>
      <c r="F1115">
        <v>4.33</v>
      </c>
      <c r="G1115">
        <v>100</v>
      </c>
    </row>
    <row r="1116" spans="1:7" ht="14" x14ac:dyDescent="0.3">
      <c r="A1116" t="s">
        <v>1141</v>
      </c>
      <c r="B1116" t="s">
        <v>32</v>
      </c>
      <c r="C1116">
        <v>2</v>
      </c>
      <c r="D1116">
        <v>2</v>
      </c>
      <c r="E1116">
        <v>1882.8</v>
      </c>
      <c r="F1116">
        <v>5</v>
      </c>
      <c r="G1116">
        <v>100</v>
      </c>
    </row>
    <row r="1117" spans="1:7" ht="14" x14ac:dyDescent="0.3">
      <c r="A1117" s="1" t="s">
        <v>1142</v>
      </c>
      <c r="B1117" t="s">
        <v>8</v>
      </c>
      <c r="C1117">
        <v>17</v>
      </c>
      <c r="D1117">
        <v>17</v>
      </c>
      <c r="E1117">
        <v>1882.79</v>
      </c>
      <c r="F1117">
        <v>4.3499999999999996</v>
      </c>
      <c r="G1117">
        <v>88.2</v>
      </c>
    </row>
    <row r="1118" spans="1:7" ht="14" x14ac:dyDescent="0.3">
      <c r="A1118" s="1" t="s">
        <v>1143</v>
      </c>
      <c r="B1118" t="s">
        <v>12</v>
      </c>
      <c r="C1118">
        <v>11</v>
      </c>
      <c r="D1118">
        <v>14</v>
      </c>
      <c r="E1118">
        <v>1880</v>
      </c>
      <c r="F1118">
        <v>4.5</v>
      </c>
      <c r="G1118">
        <v>100</v>
      </c>
    </row>
    <row r="1119" spans="1:7" ht="14" x14ac:dyDescent="0.3">
      <c r="A1119" t="s">
        <v>1144</v>
      </c>
      <c r="B1119" t="s">
        <v>8</v>
      </c>
      <c r="C1119">
        <v>21</v>
      </c>
      <c r="D1119">
        <v>21</v>
      </c>
      <c r="E1119">
        <v>1873.13</v>
      </c>
      <c r="F1119">
        <v>3.76</v>
      </c>
      <c r="G1119">
        <v>95.2</v>
      </c>
    </row>
    <row r="1120" spans="1:7" ht="14" x14ac:dyDescent="0.3">
      <c r="A1120" t="s">
        <v>1145</v>
      </c>
      <c r="B1120" t="s">
        <v>24</v>
      </c>
      <c r="C1120">
        <v>10</v>
      </c>
      <c r="D1120">
        <v>15</v>
      </c>
      <c r="E1120">
        <v>1872.15</v>
      </c>
      <c r="F1120">
        <v>4.13</v>
      </c>
      <c r="G1120">
        <v>100</v>
      </c>
    </row>
    <row r="1121" spans="1:7" ht="14" x14ac:dyDescent="0.3">
      <c r="A1121" t="s">
        <v>1146</v>
      </c>
      <c r="B1121" t="s">
        <v>32</v>
      </c>
      <c r="C1121">
        <v>13</v>
      </c>
      <c r="D1121">
        <v>14</v>
      </c>
      <c r="E1121">
        <v>1871.03</v>
      </c>
      <c r="F1121">
        <v>3.57</v>
      </c>
      <c r="G1121">
        <v>78.599999999999994</v>
      </c>
    </row>
    <row r="1122" spans="1:7" ht="14" x14ac:dyDescent="0.3">
      <c r="A1122" t="s">
        <v>1147</v>
      </c>
      <c r="B1122" t="s">
        <v>32</v>
      </c>
      <c r="C1122">
        <v>5</v>
      </c>
      <c r="D1122">
        <v>6</v>
      </c>
      <c r="E1122">
        <v>1870.75</v>
      </c>
      <c r="F1122">
        <v>4.67</v>
      </c>
      <c r="G1122">
        <v>100</v>
      </c>
    </row>
    <row r="1123" spans="1:7" ht="14" x14ac:dyDescent="0.3">
      <c r="A1123" t="s">
        <v>1148</v>
      </c>
      <c r="B1123" t="s">
        <v>8</v>
      </c>
      <c r="C1123">
        <v>17</v>
      </c>
      <c r="D1123">
        <v>29</v>
      </c>
      <c r="E1123">
        <v>1863.36</v>
      </c>
      <c r="F1123">
        <v>3.03</v>
      </c>
      <c r="G1123">
        <v>86.2</v>
      </c>
    </row>
    <row r="1124" spans="1:7" ht="14" x14ac:dyDescent="0.3">
      <c r="A1124" t="s">
        <v>1149</v>
      </c>
      <c r="B1124" t="s">
        <v>8</v>
      </c>
      <c r="C1124">
        <v>16</v>
      </c>
      <c r="D1124">
        <v>17</v>
      </c>
      <c r="E1124">
        <v>1863.04</v>
      </c>
      <c r="F1124">
        <v>3.76</v>
      </c>
      <c r="G1124">
        <v>88.2</v>
      </c>
    </row>
    <row r="1125" spans="1:7" ht="14" x14ac:dyDescent="0.3">
      <c r="A1125" t="s">
        <v>1150</v>
      </c>
      <c r="B1125" t="s">
        <v>8</v>
      </c>
      <c r="C1125">
        <v>12</v>
      </c>
      <c r="D1125">
        <v>12</v>
      </c>
      <c r="E1125">
        <v>1862.35</v>
      </c>
      <c r="F1125">
        <v>4.42</v>
      </c>
      <c r="G1125">
        <v>91.7</v>
      </c>
    </row>
    <row r="1126" spans="1:7" ht="14" x14ac:dyDescent="0.3">
      <c r="A1126" t="s">
        <v>1151</v>
      </c>
      <c r="B1126" t="s">
        <v>24</v>
      </c>
      <c r="C1126">
        <v>17</v>
      </c>
      <c r="D1126">
        <v>18</v>
      </c>
      <c r="E1126">
        <v>1862.33</v>
      </c>
      <c r="F1126">
        <v>4.6100000000000003</v>
      </c>
      <c r="G1126">
        <v>100</v>
      </c>
    </row>
    <row r="1127" spans="1:7" ht="14" x14ac:dyDescent="0.3">
      <c r="A1127" t="s">
        <v>1152</v>
      </c>
      <c r="B1127" t="s">
        <v>32</v>
      </c>
      <c r="C1127">
        <v>11</v>
      </c>
      <c r="D1127">
        <v>12</v>
      </c>
      <c r="E1127">
        <v>1850.23</v>
      </c>
      <c r="F1127">
        <v>4.25</v>
      </c>
      <c r="G1127">
        <v>100</v>
      </c>
    </row>
    <row r="1128" spans="1:7" ht="14" x14ac:dyDescent="0.3">
      <c r="A1128" t="s">
        <v>1153</v>
      </c>
      <c r="B1128" t="s">
        <v>8</v>
      </c>
      <c r="C1128">
        <v>26</v>
      </c>
      <c r="D1128">
        <v>30</v>
      </c>
      <c r="E1128">
        <v>1842.26</v>
      </c>
      <c r="F1128">
        <v>3.57</v>
      </c>
      <c r="G1128">
        <v>86.7</v>
      </c>
    </row>
    <row r="1129" spans="1:7" ht="14" x14ac:dyDescent="0.3">
      <c r="A1129" t="s">
        <v>1154</v>
      </c>
      <c r="B1129" t="s">
        <v>8</v>
      </c>
      <c r="C1129">
        <v>29</v>
      </c>
      <c r="D1129">
        <v>32</v>
      </c>
      <c r="E1129">
        <v>1839.67</v>
      </c>
      <c r="F1129">
        <v>4.63</v>
      </c>
      <c r="G1129">
        <v>93.8</v>
      </c>
    </row>
    <row r="1130" spans="1:7" ht="14" x14ac:dyDescent="0.3">
      <c r="A1130" t="s">
        <v>1155</v>
      </c>
      <c r="B1130" t="s">
        <v>8</v>
      </c>
      <c r="C1130">
        <v>20</v>
      </c>
      <c r="D1130">
        <v>23</v>
      </c>
      <c r="E1130">
        <v>1830.15</v>
      </c>
      <c r="F1130">
        <v>3.83</v>
      </c>
      <c r="G1130">
        <v>87</v>
      </c>
    </row>
    <row r="1131" spans="1:7" ht="14" x14ac:dyDescent="0.3">
      <c r="A1131" t="s">
        <v>1156</v>
      </c>
      <c r="B1131" t="s">
        <v>8</v>
      </c>
      <c r="C1131">
        <v>10</v>
      </c>
      <c r="D1131">
        <v>11</v>
      </c>
      <c r="E1131">
        <v>1829.91</v>
      </c>
      <c r="F1131">
        <v>4.3600000000000003</v>
      </c>
      <c r="G1131">
        <v>100</v>
      </c>
    </row>
    <row r="1132" spans="1:7" ht="14" x14ac:dyDescent="0.3">
      <c r="A1132" t="s">
        <v>1157</v>
      </c>
      <c r="B1132" t="s">
        <v>24</v>
      </c>
      <c r="C1132">
        <v>9</v>
      </c>
      <c r="D1132">
        <v>9</v>
      </c>
      <c r="E1132">
        <v>1829.47</v>
      </c>
      <c r="F1132">
        <v>3.78</v>
      </c>
      <c r="G1132">
        <v>88.9</v>
      </c>
    </row>
    <row r="1133" spans="1:7" ht="14" x14ac:dyDescent="0.3">
      <c r="A1133" t="s">
        <v>1158</v>
      </c>
      <c r="B1133" t="s">
        <v>8</v>
      </c>
      <c r="C1133">
        <v>15</v>
      </c>
      <c r="D1133">
        <v>15</v>
      </c>
      <c r="E1133">
        <v>1828.59</v>
      </c>
      <c r="F1133">
        <v>4.2699999999999996</v>
      </c>
      <c r="G1133">
        <v>100</v>
      </c>
    </row>
    <row r="1134" spans="1:7" ht="14" x14ac:dyDescent="0.3">
      <c r="A1134" t="s">
        <v>1159</v>
      </c>
      <c r="B1134" t="s">
        <v>8</v>
      </c>
      <c r="C1134">
        <v>2</v>
      </c>
      <c r="D1134">
        <v>2</v>
      </c>
      <c r="E1134">
        <v>1824.56</v>
      </c>
      <c r="F1134">
        <v>4.5</v>
      </c>
      <c r="G1134">
        <v>100</v>
      </c>
    </row>
    <row r="1135" spans="1:7" ht="14" x14ac:dyDescent="0.3">
      <c r="A1135" t="s">
        <v>1160</v>
      </c>
      <c r="B1135" t="s">
        <v>8</v>
      </c>
      <c r="C1135">
        <v>12</v>
      </c>
      <c r="D1135">
        <v>13</v>
      </c>
      <c r="E1135">
        <v>1818.28</v>
      </c>
      <c r="F1135">
        <v>4.62</v>
      </c>
      <c r="G1135">
        <v>92.3</v>
      </c>
    </row>
    <row r="1136" spans="1:7" ht="14" x14ac:dyDescent="0.3">
      <c r="A1136" t="s">
        <v>1161</v>
      </c>
      <c r="B1136" t="s">
        <v>8</v>
      </c>
      <c r="C1136">
        <v>10</v>
      </c>
      <c r="D1136">
        <v>10</v>
      </c>
      <c r="E1136">
        <v>1815.4</v>
      </c>
      <c r="F1136">
        <v>4.4000000000000004</v>
      </c>
      <c r="G1136">
        <v>100</v>
      </c>
    </row>
    <row r="1137" spans="1:7" ht="14" x14ac:dyDescent="0.3">
      <c r="A1137" t="s">
        <v>1162</v>
      </c>
      <c r="B1137" t="s">
        <v>8</v>
      </c>
      <c r="C1137">
        <v>49</v>
      </c>
      <c r="D1137">
        <v>58</v>
      </c>
      <c r="E1137">
        <v>1814.8</v>
      </c>
      <c r="F1137">
        <v>3.98</v>
      </c>
      <c r="G1137">
        <v>98.3</v>
      </c>
    </row>
    <row r="1138" spans="1:7" ht="14" x14ac:dyDescent="0.3">
      <c r="A1138" t="s">
        <v>1163</v>
      </c>
      <c r="B1138" t="s">
        <v>32</v>
      </c>
      <c r="C1138">
        <v>12</v>
      </c>
      <c r="D1138">
        <v>14</v>
      </c>
      <c r="E1138">
        <v>1809.55</v>
      </c>
      <c r="F1138">
        <v>4.5</v>
      </c>
      <c r="G1138">
        <v>100</v>
      </c>
    </row>
    <row r="1139" spans="1:7" ht="14" x14ac:dyDescent="0.3">
      <c r="A1139" t="s">
        <v>1164</v>
      </c>
      <c r="B1139" t="s">
        <v>24</v>
      </c>
      <c r="C1139">
        <v>4</v>
      </c>
      <c r="D1139">
        <v>8</v>
      </c>
      <c r="E1139">
        <v>1802.8</v>
      </c>
      <c r="F1139">
        <v>4.13</v>
      </c>
      <c r="G1139">
        <v>87.5</v>
      </c>
    </row>
    <row r="1140" spans="1:7" ht="14" x14ac:dyDescent="0.3">
      <c r="A1140" t="s">
        <v>1165</v>
      </c>
      <c r="B1140" t="s">
        <v>8</v>
      </c>
      <c r="C1140">
        <v>12</v>
      </c>
      <c r="D1140">
        <v>13</v>
      </c>
      <c r="E1140">
        <v>1800.42</v>
      </c>
      <c r="F1140">
        <v>4.3099999999999996</v>
      </c>
      <c r="G1140">
        <v>92.3</v>
      </c>
    </row>
    <row r="1141" spans="1:7" ht="14" x14ac:dyDescent="0.3">
      <c r="A1141" t="s">
        <v>1166</v>
      </c>
      <c r="B1141" t="s">
        <v>8</v>
      </c>
      <c r="C1141">
        <v>5</v>
      </c>
      <c r="D1141">
        <v>10</v>
      </c>
      <c r="E1141">
        <v>1799.46</v>
      </c>
      <c r="F1141">
        <v>5</v>
      </c>
      <c r="G1141">
        <v>100</v>
      </c>
    </row>
    <row r="1142" spans="1:7" ht="14" x14ac:dyDescent="0.3">
      <c r="A1142" t="s">
        <v>1167</v>
      </c>
      <c r="B1142" t="s">
        <v>22</v>
      </c>
      <c r="C1142">
        <v>17</v>
      </c>
      <c r="D1142">
        <v>19</v>
      </c>
      <c r="E1142">
        <v>1793.71</v>
      </c>
      <c r="F1142">
        <v>4.3899999999999997</v>
      </c>
      <c r="G1142">
        <v>94.7</v>
      </c>
    </row>
    <row r="1143" spans="1:7" ht="14" x14ac:dyDescent="0.3">
      <c r="A1143" t="s">
        <v>1168</v>
      </c>
      <c r="B1143" t="s">
        <v>87</v>
      </c>
      <c r="C1143">
        <v>11</v>
      </c>
      <c r="D1143">
        <v>16</v>
      </c>
      <c r="E1143">
        <v>1791.44</v>
      </c>
      <c r="F1143">
        <v>3.25</v>
      </c>
      <c r="G1143">
        <v>100</v>
      </c>
    </row>
    <row r="1144" spans="1:7" ht="14" x14ac:dyDescent="0.3">
      <c r="A1144" t="s">
        <v>1169</v>
      </c>
      <c r="B1144" t="s">
        <v>22</v>
      </c>
      <c r="C1144">
        <v>1</v>
      </c>
      <c r="D1144">
        <v>1</v>
      </c>
      <c r="E1144">
        <v>1789.02</v>
      </c>
      <c r="F1144">
        <v>4</v>
      </c>
      <c r="G1144">
        <v>100</v>
      </c>
    </row>
    <row r="1145" spans="1:7" ht="14" x14ac:dyDescent="0.3">
      <c r="A1145" t="s">
        <v>1170</v>
      </c>
      <c r="B1145" t="s">
        <v>8</v>
      </c>
      <c r="C1145">
        <v>2</v>
      </c>
      <c r="D1145">
        <v>2</v>
      </c>
      <c r="E1145">
        <v>1788.79</v>
      </c>
      <c r="F1145">
        <v>1</v>
      </c>
      <c r="G1145">
        <v>50</v>
      </c>
    </row>
    <row r="1146" spans="1:7" ht="14" x14ac:dyDescent="0.3">
      <c r="A1146" t="s">
        <v>1171</v>
      </c>
      <c r="B1146" t="s">
        <v>32</v>
      </c>
      <c r="C1146">
        <v>22</v>
      </c>
      <c r="D1146">
        <v>22</v>
      </c>
      <c r="E1146">
        <v>1788.34</v>
      </c>
      <c r="F1146">
        <v>4.5</v>
      </c>
      <c r="G1146">
        <v>100</v>
      </c>
    </row>
    <row r="1147" spans="1:7" ht="14" x14ac:dyDescent="0.3">
      <c r="A1147" t="s">
        <v>1172</v>
      </c>
      <c r="B1147" t="s">
        <v>8</v>
      </c>
      <c r="C1147">
        <v>11</v>
      </c>
      <c r="D1147">
        <v>11</v>
      </c>
      <c r="E1147">
        <v>1783.89</v>
      </c>
      <c r="F1147">
        <v>4.55</v>
      </c>
      <c r="G1147">
        <v>100</v>
      </c>
    </row>
    <row r="1148" spans="1:7" ht="14" x14ac:dyDescent="0.3">
      <c r="A1148" t="s">
        <v>1173</v>
      </c>
      <c r="B1148" t="s">
        <v>8</v>
      </c>
      <c r="C1148">
        <v>31</v>
      </c>
      <c r="D1148">
        <v>39</v>
      </c>
      <c r="E1148">
        <v>1783.36</v>
      </c>
      <c r="F1148">
        <v>4.3099999999999996</v>
      </c>
      <c r="G1148">
        <v>97.4</v>
      </c>
    </row>
    <row r="1149" spans="1:7" ht="14" x14ac:dyDescent="0.3">
      <c r="A1149" t="s">
        <v>1174</v>
      </c>
      <c r="B1149" t="s">
        <v>32</v>
      </c>
      <c r="C1149">
        <v>10</v>
      </c>
      <c r="D1149">
        <v>14</v>
      </c>
      <c r="E1149">
        <v>1783.26</v>
      </c>
      <c r="F1149">
        <v>3.96</v>
      </c>
      <c r="G1149">
        <v>100</v>
      </c>
    </row>
    <row r="1150" spans="1:7" ht="14" x14ac:dyDescent="0.3">
      <c r="A1150" t="s">
        <v>1175</v>
      </c>
      <c r="B1150" t="s">
        <v>12</v>
      </c>
      <c r="C1150">
        <v>14</v>
      </c>
      <c r="D1150">
        <v>15</v>
      </c>
      <c r="E1150">
        <v>1774.94</v>
      </c>
      <c r="F1150">
        <v>3.7</v>
      </c>
      <c r="G1150">
        <v>93.3</v>
      </c>
    </row>
    <row r="1151" spans="1:7" ht="14" x14ac:dyDescent="0.3">
      <c r="A1151" t="s">
        <v>1176</v>
      </c>
      <c r="B1151" t="s">
        <v>8</v>
      </c>
      <c r="C1151">
        <v>12</v>
      </c>
      <c r="D1151">
        <v>16</v>
      </c>
      <c r="E1151">
        <v>1770.94</v>
      </c>
      <c r="F1151">
        <v>4.6900000000000004</v>
      </c>
      <c r="G1151">
        <v>100</v>
      </c>
    </row>
    <row r="1152" spans="1:7" ht="14" x14ac:dyDescent="0.3">
      <c r="A1152" t="s">
        <v>1177</v>
      </c>
      <c r="B1152" t="s">
        <v>8</v>
      </c>
      <c r="C1152">
        <v>7</v>
      </c>
      <c r="D1152">
        <v>7</v>
      </c>
      <c r="E1152">
        <v>1768.9</v>
      </c>
      <c r="F1152">
        <v>4.29</v>
      </c>
      <c r="G1152">
        <v>85.7</v>
      </c>
    </row>
    <row r="1153" spans="1:7" ht="14" x14ac:dyDescent="0.3">
      <c r="A1153" t="s">
        <v>1178</v>
      </c>
      <c r="B1153" t="s">
        <v>87</v>
      </c>
      <c r="C1153">
        <v>1</v>
      </c>
      <c r="D1153">
        <v>1</v>
      </c>
      <c r="E1153">
        <v>1759.04</v>
      </c>
      <c r="F1153">
        <v>5</v>
      </c>
      <c r="G1153">
        <v>100</v>
      </c>
    </row>
    <row r="1154" spans="1:7" ht="14" x14ac:dyDescent="0.3">
      <c r="A1154" t="s">
        <v>1179</v>
      </c>
      <c r="B1154" t="s">
        <v>22</v>
      </c>
      <c r="C1154">
        <v>5</v>
      </c>
      <c r="D1154">
        <v>7</v>
      </c>
      <c r="E1154">
        <v>1758.38</v>
      </c>
      <c r="F1154">
        <v>4.29</v>
      </c>
      <c r="G1154">
        <v>85.7</v>
      </c>
    </row>
    <row r="1155" spans="1:7" ht="14" x14ac:dyDescent="0.3">
      <c r="A1155" t="s">
        <v>1180</v>
      </c>
      <c r="B1155" t="s">
        <v>32</v>
      </c>
      <c r="C1155">
        <v>6</v>
      </c>
      <c r="D1155">
        <v>7</v>
      </c>
      <c r="E1155">
        <v>1758.28</v>
      </c>
      <c r="F1155">
        <v>4.8600000000000003</v>
      </c>
      <c r="G1155">
        <v>100</v>
      </c>
    </row>
    <row r="1156" spans="1:7" ht="14" x14ac:dyDescent="0.3">
      <c r="A1156" t="s">
        <v>1181</v>
      </c>
      <c r="B1156" t="s">
        <v>8</v>
      </c>
      <c r="C1156">
        <v>15</v>
      </c>
      <c r="D1156">
        <v>15</v>
      </c>
      <c r="E1156">
        <v>1746.9</v>
      </c>
      <c r="F1156">
        <v>4.71</v>
      </c>
      <c r="G1156">
        <v>100</v>
      </c>
    </row>
    <row r="1157" spans="1:7" ht="14" x14ac:dyDescent="0.3">
      <c r="A1157" t="s">
        <v>1182</v>
      </c>
      <c r="B1157" t="s">
        <v>8</v>
      </c>
      <c r="C1157">
        <v>9</v>
      </c>
      <c r="D1157">
        <v>9</v>
      </c>
      <c r="E1157">
        <v>1745.99</v>
      </c>
      <c r="F1157">
        <v>3.89</v>
      </c>
      <c r="G1157">
        <v>88.9</v>
      </c>
    </row>
    <row r="1158" spans="1:7" ht="14" x14ac:dyDescent="0.3">
      <c r="A1158" t="s">
        <v>1183</v>
      </c>
      <c r="B1158" t="s">
        <v>8</v>
      </c>
      <c r="C1158">
        <v>8</v>
      </c>
      <c r="D1158">
        <v>8</v>
      </c>
      <c r="E1158">
        <v>1745.73</v>
      </c>
      <c r="F1158">
        <v>4.5</v>
      </c>
      <c r="G1158">
        <v>100</v>
      </c>
    </row>
    <row r="1159" spans="1:7" ht="14" x14ac:dyDescent="0.3">
      <c r="A1159" t="s">
        <v>1184</v>
      </c>
      <c r="B1159" t="s">
        <v>8</v>
      </c>
      <c r="C1159">
        <v>42</v>
      </c>
      <c r="D1159">
        <v>45</v>
      </c>
      <c r="E1159">
        <v>1739.77</v>
      </c>
      <c r="F1159">
        <v>4.58</v>
      </c>
      <c r="G1159">
        <v>95.6</v>
      </c>
    </row>
    <row r="1160" spans="1:7" ht="14" x14ac:dyDescent="0.3">
      <c r="A1160" t="s">
        <v>1185</v>
      </c>
      <c r="B1160" t="s">
        <v>24</v>
      </c>
      <c r="C1160">
        <v>23</v>
      </c>
      <c r="D1160">
        <v>27</v>
      </c>
      <c r="E1160">
        <v>1733.18</v>
      </c>
      <c r="F1160">
        <v>4.41</v>
      </c>
      <c r="G1160">
        <v>100</v>
      </c>
    </row>
    <row r="1161" spans="1:7" ht="14" x14ac:dyDescent="0.3">
      <c r="A1161" t="s">
        <v>1186</v>
      </c>
      <c r="B1161" t="s">
        <v>8</v>
      </c>
      <c r="C1161">
        <v>25</v>
      </c>
      <c r="D1161">
        <v>46</v>
      </c>
      <c r="E1161">
        <v>1730.29</v>
      </c>
      <c r="F1161">
        <v>2.6</v>
      </c>
      <c r="G1161">
        <v>50</v>
      </c>
    </row>
    <row r="1162" spans="1:7" ht="14" x14ac:dyDescent="0.3">
      <c r="A1162" t="s">
        <v>1187</v>
      </c>
      <c r="B1162" t="s">
        <v>8</v>
      </c>
      <c r="C1162">
        <v>11</v>
      </c>
      <c r="D1162">
        <v>12</v>
      </c>
      <c r="E1162">
        <v>1724.81</v>
      </c>
      <c r="F1162">
        <v>4.3</v>
      </c>
      <c r="G1162">
        <v>100</v>
      </c>
    </row>
    <row r="1163" spans="1:7" ht="14" x14ac:dyDescent="0.3">
      <c r="A1163" t="s">
        <v>1188</v>
      </c>
      <c r="B1163" t="s">
        <v>8</v>
      </c>
      <c r="C1163">
        <v>18</v>
      </c>
      <c r="D1163">
        <v>22</v>
      </c>
      <c r="E1163">
        <v>1711.69</v>
      </c>
      <c r="F1163">
        <v>3.82</v>
      </c>
      <c r="G1163">
        <v>72.7</v>
      </c>
    </row>
    <row r="1164" spans="1:7" ht="14" x14ac:dyDescent="0.3">
      <c r="A1164" t="s">
        <v>1189</v>
      </c>
      <c r="B1164" t="s">
        <v>8</v>
      </c>
      <c r="C1164">
        <v>14</v>
      </c>
      <c r="D1164">
        <v>14</v>
      </c>
      <c r="E1164">
        <v>1710.37</v>
      </c>
      <c r="F1164">
        <v>4.3600000000000003</v>
      </c>
      <c r="G1164">
        <v>92.9</v>
      </c>
    </row>
    <row r="1165" spans="1:7" ht="14" x14ac:dyDescent="0.3">
      <c r="A1165" t="s">
        <v>1190</v>
      </c>
      <c r="B1165" t="s">
        <v>24</v>
      </c>
      <c r="C1165">
        <v>5</v>
      </c>
      <c r="D1165">
        <v>5</v>
      </c>
      <c r="E1165">
        <v>1704.44</v>
      </c>
      <c r="F1165">
        <v>4.5999999999999996</v>
      </c>
      <c r="G1165">
        <v>100</v>
      </c>
    </row>
    <row r="1166" spans="1:7" ht="14" x14ac:dyDescent="0.3">
      <c r="A1166" t="s">
        <v>1191</v>
      </c>
      <c r="B1166" t="s">
        <v>24</v>
      </c>
      <c r="C1166">
        <v>8</v>
      </c>
      <c r="D1166">
        <v>8</v>
      </c>
      <c r="E1166">
        <v>1695.07</v>
      </c>
      <c r="F1166">
        <v>4.63</v>
      </c>
      <c r="G1166">
        <v>100</v>
      </c>
    </row>
    <row r="1167" spans="1:7" ht="14" x14ac:dyDescent="0.3">
      <c r="A1167" t="s">
        <v>1192</v>
      </c>
      <c r="B1167" t="s">
        <v>8</v>
      </c>
      <c r="C1167">
        <v>7</v>
      </c>
      <c r="D1167">
        <v>8</v>
      </c>
      <c r="E1167">
        <v>1693.59</v>
      </c>
      <c r="F1167">
        <v>3.57</v>
      </c>
      <c r="G1167">
        <v>100</v>
      </c>
    </row>
    <row r="1168" spans="1:7" ht="14" x14ac:dyDescent="0.3">
      <c r="A1168" t="s">
        <v>1193</v>
      </c>
      <c r="B1168" t="s">
        <v>8</v>
      </c>
      <c r="C1168">
        <v>1</v>
      </c>
      <c r="D1168">
        <v>1</v>
      </c>
      <c r="E1168">
        <v>1693.31</v>
      </c>
      <c r="F1168">
        <v>5</v>
      </c>
      <c r="G1168">
        <v>100</v>
      </c>
    </row>
    <row r="1169" spans="1:7" ht="14" x14ac:dyDescent="0.3">
      <c r="A1169" t="s">
        <v>1194</v>
      </c>
      <c r="B1169" t="s">
        <v>8</v>
      </c>
      <c r="C1169">
        <v>5</v>
      </c>
      <c r="D1169">
        <v>5</v>
      </c>
      <c r="E1169">
        <v>1692.9</v>
      </c>
      <c r="F1169">
        <v>3.2</v>
      </c>
      <c r="G1169">
        <v>40</v>
      </c>
    </row>
    <row r="1170" spans="1:7" ht="14" x14ac:dyDescent="0.3">
      <c r="A1170" t="s">
        <v>1195</v>
      </c>
      <c r="B1170" t="s">
        <v>32</v>
      </c>
      <c r="C1170">
        <v>27</v>
      </c>
      <c r="D1170">
        <v>27</v>
      </c>
      <c r="E1170">
        <v>1692.11</v>
      </c>
      <c r="F1170">
        <v>4.7</v>
      </c>
      <c r="G1170">
        <v>100</v>
      </c>
    </row>
    <row r="1171" spans="1:7" ht="14" x14ac:dyDescent="0.3">
      <c r="A1171" t="s">
        <v>1196</v>
      </c>
      <c r="B1171" t="s">
        <v>8</v>
      </c>
      <c r="C1171">
        <v>8</v>
      </c>
      <c r="D1171">
        <v>11</v>
      </c>
      <c r="E1171">
        <v>1692.03</v>
      </c>
      <c r="F1171">
        <v>4.7300000000000004</v>
      </c>
      <c r="G1171">
        <v>100</v>
      </c>
    </row>
    <row r="1172" spans="1:7" ht="14" x14ac:dyDescent="0.3">
      <c r="A1172" t="s">
        <v>1197</v>
      </c>
      <c r="B1172" t="s">
        <v>8</v>
      </c>
      <c r="C1172">
        <v>10</v>
      </c>
      <c r="D1172">
        <v>11</v>
      </c>
      <c r="E1172">
        <v>1691.5</v>
      </c>
      <c r="F1172">
        <v>3.45</v>
      </c>
      <c r="G1172">
        <v>90.9</v>
      </c>
    </row>
    <row r="1173" spans="1:7" ht="14" x14ac:dyDescent="0.3">
      <c r="A1173" t="s">
        <v>1198</v>
      </c>
      <c r="B1173" t="s">
        <v>24</v>
      </c>
      <c r="C1173">
        <v>5</v>
      </c>
      <c r="D1173">
        <v>5</v>
      </c>
      <c r="E1173">
        <v>1689.99</v>
      </c>
      <c r="F1173">
        <v>4.4000000000000004</v>
      </c>
      <c r="G1173">
        <v>100</v>
      </c>
    </row>
    <row r="1174" spans="1:7" ht="14" x14ac:dyDescent="0.3">
      <c r="A1174" t="s">
        <v>1199</v>
      </c>
      <c r="B1174" t="s">
        <v>8</v>
      </c>
      <c r="C1174">
        <v>7</v>
      </c>
      <c r="D1174">
        <v>7</v>
      </c>
      <c r="E1174">
        <v>1682.22</v>
      </c>
      <c r="F1174">
        <v>3.86</v>
      </c>
      <c r="G1174">
        <v>100</v>
      </c>
    </row>
    <row r="1175" spans="1:7" ht="14" x14ac:dyDescent="0.3">
      <c r="A1175" t="s">
        <v>1200</v>
      </c>
      <c r="B1175" t="s">
        <v>8</v>
      </c>
      <c r="C1175">
        <v>14</v>
      </c>
      <c r="D1175">
        <v>14</v>
      </c>
      <c r="E1175">
        <v>1677.95</v>
      </c>
      <c r="F1175">
        <v>4.21</v>
      </c>
      <c r="G1175">
        <v>92.9</v>
      </c>
    </row>
    <row r="1176" spans="1:7" ht="14" x14ac:dyDescent="0.3">
      <c r="A1176" t="s">
        <v>1201</v>
      </c>
      <c r="B1176" t="s">
        <v>8</v>
      </c>
      <c r="C1176">
        <v>13</v>
      </c>
      <c r="D1176">
        <v>14</v>
      </c>
      <c r="E1176">
        <v>1677.81</v>
      </c>
      <c r="F1176">
        <v>3.73</v>
      </c>
      <c r="G1176">
        <v>100</v>
      </c>
    </row>
    <row r="1177" spans="1:7" ht="14" x14ac:dyDescent="0.3">
      <c r="A1177" t="s">
        <v>1202</v>
      </c>
      <c r="B1177" t="s">
        <v>8</v>
      </c>
      <c r="C1177">
        <v>17</v>
      </c>
      <c r="D1177">
        <v>19</v>
      </c>
      <c r="E1177">
        <v>1671.1</v>
      </c>
      <c r="F1177">
        <v>4.47</v>
      </c>
      <c r="G1177">
        <v>84.2</v>
      </c>
    </row>
    <row r="1178" spans="1:7" ht="14" x14ac:dyDescent="0.3">
      <c r="A1178" t="s">
        <v>1203</v>
      </c>
      <c r="B1178" t="s">
        <v>8</v>
      </c>
      <c r="C1178">
        <v>11</v>
      </c>
      <c r="D1178">
        <v>11</v>
      </c>
      <c r="E1178">
        <v>1667.91</v>
      </c>
      <c r="F1178">
        <v>4.3600000000000003</v>
      </c>
      <c r="G1178">
        <v>90.9</v>
      </c>
    </row>
    <row r="1179" spans="1:7" ht="14" x14ac:dyDescent="0.3">
      <c r="A1179" t="s">
        <v>1204</v>
      </c>
      <c r="B1179" t="s">
        <v>32</v>
      </c>
      <c r="C1179">
        <v>20</v>
      </c>
      <c r="D1179">
        <v>20</v>
      </c>
      <c r="E1179">
        <v>1667.08</v>
      </c>
      <c r="F1179">
        <v>4.1500000000000004</v>
      </c>
      <c r="G1179">
        <v>95</v>
      </c>
    </row>
    <row r="1180" spans="1:7" ht="14" x14ac:dyDescent="0.3">
      <c r="A1180" t="s">
        <v>1205</v>
      </c>
      <c r="B1180" t="s">
        <v>8</v>
      </c>
      <c r="C1180">
        <v>8</v>
      </c>
      <c r="D1180">
        <v>8</v>
      </c>
      <c r="E1180">
        <v>1662.85</v>
      </c>
      <c r="F1180">
        <v>5</v>
      </c>
      <c r="G1180">
        <v>100</v>
      </c>
    </row>
    <row r="1181" spans="1:7" ht="14" x14ac:dyDescent="0.3">
      <c r="A1181" t="s">
        <v>1206</v>
      </c>
      <c r="B1181" t="s">
        <v>32</v>
      </c>
      <c r="C1181">
        <v>10</v>
      </c>
      <c r="D1181">
        <v>11</v>
      </c>
      <c r="E1181">
        <v>1658.92</v>
      </c>
      <c r="F1181">
        <v>4.45</v>
      </c>
      <c r="G1181">
        <v>100</v>
      </c>
    </row>
    <row r="1182" spans="1:7" ht="14" x14ac:dyDescent="0.3">
      <c r="A1182" t="s">
        <v>1207</v>
      </c>
      <c r="B1182" t="s">
        <v>8</v>
      </c>
      <c r="C1182">
        <v>6</v>
      </c>
      <c r="D1182">
        <v>6</v>
      </c>
      <c r="E1182">
        <v>1658.09</v>
      </c>
      <c r="F1182">
        <v>3.33</v>
      </c>
      <c r="G1182">
        <v>66.7</v>
      </c>
    </row>
    <row r="1183" spans="1:7" ht="14" x14ac:dyDescent="0.3">
      <c r="A1183" t="s">
        <v>1208</v>
      </c>
      <c r="B1183" t="s">
        <v>32</v>
      </c>
      <c r="C1183">
        <v>4</v>
      </c>
      <c r="D1183">
        <v>4</v>
      </c>
      <c r="E1183">
        <v>1657.45</v>
      </c>
      <c r="F1183">
        <v>4.25</v>
      </c>
      <c r="G1183">
        <v>100</v>
      </c>
    </row>
    <row r="1184" spans="1:7" ht="14" x14ac:dyDescent="0.3">
      <c r="A1184" t="s">
        <v>1209</v>
      </c>
      <c r="B1184" t="s">
        <v>8</v>
      </c>
      <c r="C1184">
        <v>23</v>
      </c>
      <c r="D1184">
        <v>23</v>
      </c>
      <c r="E1184">
        <v>1655.97</v>
      </c>
      <c r="F1184">
        <v>4.6500000000000004</v>
      </c>
      <c r="G1184">
        <v>100</v>
      </c>
    </row>
    <row r="1185" spans="1:7" ht="14" x14ac:dyDescent="0.3">
      <c r="A1185" t="s">
        <v>1210</v>
      </c>
      <c r="B1185" t="s">
        <v>42</v>
      </c>
      <c r="C1185">
        <v>9</v>
      </c>
      <c r="D1185">
        <v>10</v>
      </c>
      <c r="E1185">
        <v>1654.32</v>
      </c>
      <c r="F1185">
        <v>4</v>
      </c>
      <c r="G1185">
        <v>90</v>
      </c>
    </row>
    <row r="1186" spans="1:7" ht="14" x14ac:dyDescent="0.3">
      <c r="A1186" t="s">
        <v>1211</v>
      </c>
      <c r="B1186" t="s">
        <v>8</v>
      </c>
      <c r="C1186">
        <v>3</v>
      </c>
      <c r="D1186">
        <v>4</v>
      </c>
      <c r="E1186">
        <v>1653.63</v>
      </c>
      <c r="F1186">
        <v>2.75</v>
      </c>
      <c r="G1186">
        <v>100</v>
      </c>
    </row>
    <row r="1187" spans="1:7" ht="14" x14ac:dyDescent="0.3">
      <c r="A1187" t="s">
        <v>1212</v>
      </c>
      <c r="B1187" t="s">
        <v>8</v>
      </c>
      <c r="C1187">
        <v>15</v>
      </c>
      <c r="D1187">
        <v>15</v>
      </c>
      <c r="E1187">
        <v>1648.49</v>
      </c>
      <c r="F1187">
        <v>3.93</v>
      </c>
      <c r="G1187">
        <v>93.3</v>
      </c>
    </row>
    <row r="1188" spans="1:7" ht="14" x14ac:dyDescent="0.3">
      <c r="A1188" t="s">
        <v>1213</v>
      </c>
      <c r="B1188" t="s">
        <v>309</v>
      </c>
      <c r="C1188">
        <v>10</v>
      </c>
      <c r="D1188">
        <v>10</v>
      </c>
      <c r="E1188">
        <v>1644.69</v>
      </c>
      <c r="F1188">
        <v>4.4000000000000004</v>
      </c>
      <c r="G1188">
        <v>100</v>
      </c>
    </row>
    <row r="1189" spans="1:7" ht="14" x14ac:dyDescent="0.3">
      <c r="A1189" t="s">
        <v>1214</v>
      </c>
      <c r="B1189" t="s">
        <v>32</v>
      </c>
      <c r="C1189">
        <v>10</v>
      </c>
      <c r="D1189">
        <v>11</v>
      </c>
      <c r="E1189">
        <v>1644.08</v>
      </c>
      <c r="F1189">
        <v>4.2699999999999996</v>
      </c>
      <c r="G1189">
        <v>100</v>
      </c>
    </row>
    <row r="1190" spans="1:7" ht="14" x14ac:dyDescent="0.3">
      <c r="A1190" t="s">
        <v>1215</v>
      </c>
      <c r="B1190" t="s">
        <v>8</v>
      </c>
      <c r="C1190">
        <v>17</v>
      </c>
      <c r="D1190">
        <v>18</v>
      </c>
      <c r="E1190">
        <v>1642.81</v>
      </c>
      <c r="F1190">
        <v>4.4400000000000004</v>
      </c>
      <c r="G1190">
        <v>100</v>
      </c>
    </row>
    <row r="1191" spans="1:7" ht="14" x14ac:dyDescent="0.3">
      <c r="A1191" t="s">
        <v>1216</v>
      </c>
      <c r="B1191" t="s">
        <v>8</v>
      </c>
      <c r="C1191">
        <v>15</v>
      </c>
      <c r="D1191">
        <v>17</v>
      </c>
      <c r="E1191">
        <v>1642.2</v>
      </c>
      <c r="F1191">
        <v>4</v>
      </c>
      <c r="G1191">
        <v>82.4</v>
      </c>
    </row>
    <row r="1192" spans="1:7" ht="14" x14ac:dyDescent="0.3">
      <c r="A1192" t="s">
        <v>1217</v>
      </c>
      <c r="B1192" t="s">
        <v>8</v>
      </c>
      <c r="C1192">
        <v>8</v>
      </c>
      <c r="D1192">
        <v>8</v>
      </c>
      <c r="E1192">
        <v>1641.74</v>
      </c>
      <c r="F1192">
        <v>3.75</v>
      </c>
      <c r="G1192">
        <v>87.5</v>
      </c>
    </row>
    <row r="1193" spans="1:7" ht="14" x14ac:dyDescent="0.3">
      <c r="A1193" t="s">
        <v>1218</v>
      </c>
      <c r="B1193" t="s">
        <v>32</v>
      </c>
      <c r="C1193">
        <v>1</v>
      </c>
      <c r="D1193">
        <v>1</v>
      </c>
      <c r="E1193">
        <v>1638.72</v>
      </c>
      <c r="F1193">
        <v>5</v>
      </c>
      <c r="G1193">
        <v>100</v>
      </c>
    </row>
    <row r="1194" spans="1:7" ht="14" x14ac:dyDescent="0.3">
      <c r="A1194" t="s">
        <v>1219</v>
      </c>
      <c r="B1194" t="s">
        <v>8</v>
      </c>
      <c r="C1194">
        <v>3</v>
      </c>
      <c r="D1194">
        <v>3</v>
      </c>
      <c r="E1194">
        <v>1632.99</v>
      </c>
      <c r="F1194">
        <v>3.67</v>
      </c>
      <c r="G1194">
        <v>66.7</v>
      </c>
    </row>
    <row r="1195" spans="1:7" ht="14" x14ac:dyDescent="0.3">
      <c r="A1195" t="s">
        <v>1220</v>
      </c>
      <c r="B1195" t="s">
        <v>8</v>
      </c>
      <c r="C1195">
        <v>15</v>
      </c>
      <c r="D1195">
        <v>18</v>
      </c>
      <c r="E1195">
        <v>1629.7</v>
      </c>
      <c r="F1195">
        <v>3.83</v>
      </c>
      <c r="G1195">
        <v>83.3</v>
      </c>
    </row>
    <row r="1196" spans="1:7" ht="14" x14ac:dyDescent="0.3">
      <c r="A1196" t="s">
        <v>1221</v>
      </c>
      <c r="B1196" t="s">
        <v>32</v>
      </c>
      <c r="C1196">
        <v>31</v>
      </c>
      <c r="D1196">
        <v>50</v>
      </c>
      <c r="E1196">
        <v>1625.15</v>
      </c>
      <c r="F1196">
        <v>3.9</v>
      </c>
      <c r="G1196">
        <v>90</v>
      </c>
    </row>
    <row r="1197" spans="1:7" ht="14" x14ac:dyDescent="0.3">
      <c r="A1197" t="s">
        <v>1222</v>
      </c>
      <c r="B1197" t="s">
        <v>24</v>
      </c>
      <c r="C1197">
        <v>13</v>
      </c>
      <c r="D1197">
        <v>15</v>
      </c>
      <c r="E1197">
        <v>1623.49</v>
      </c>
      <c r="F1197">
        <v>3.93</v>
      </c>
      <c r="G1197">
        <v>66.7</v>
      </c>
    </row>
    <row r="1198" spans="1:7" ht="14" x14ac:dyDescent="0.3">
      <c r="A1198" t="s">
        <v>1223</v>
      </c>
      <c r="B1198" t="s">
        <v>8</v>
      </c>
      <c r="C1198">
        <v>9</v>
      </c>
      <c r="D1198">
        <v>12</v>
      </c>
      <c r="E1198">
        <v>1622.44</v>
      </c>
      <c r="F1198">
        <v>4.17</v>
      </c>
      <c r="G1198">
        <v>83.3</v>
      </c>
    </row>
    <row r="1199" spans="1:7" ht="14" x14ac:dyDescent="0.3">
      <c r="A1199" t="s">
        <v>1224</v>
      </c>
      <c r="B1199" t="s">
        <v>8</v>
      </c>
      <c r="C1199">
        <v>5</v>
      </c>
      <c r="D1199">
        <v>5</v>
      </c>
      <c r="E1199">
        <v>1622.11</v>
      </c>
      <c r="F1199">
        <v>3.8</v>
      </c>
      <c r="G1199">
        <v>100</v>
      </c>
    </row>
    <row r="1200" spans="1:7" ht="14" x14ac:dyDescent="0.3">
      <c r="A1200" t="s">
        <v>1225</v>
      </c>
      <c r="B1200" t="s">
        <v>24</v>
      </c>
      <c r="C1200">
        <v>17</v>
      </c>
      <c r="D1200">
        <v>37</v>
      </c>
      <c r="E1200">
        <v>1621.5</v>
      </c>
      <c r="F1200">
        <v>3.32</v>
      </c>
      <c r="G1200">
        <v>100</v>
      </c>
    </row>
    <row r="1201" spans="1:7" ht="14" x14ac:dyDescent="0.3">
      <c r="A1201" t="s">
        <v>1226</v>
      </c>
      <c r="B1201" t="s">
        <v>800</v>
      </c>
      <c r="C1201">
        <v>8</v>
      </c>
      <c r="D1201">
        <v>8</v>
      </c>
      <c r="E1201">
        <v>1621.13</v>
      </c>
      <c r="F1201">
        <v>3.88</v>
      </c>
      <c r="G1201">
        <v>100</v>
      </c>
    </row>
    <row r="1202" spans="1:7" ht="14" x14ac:dyDescent="0.3">
      <c r="A1202" t="s">
        <v>1227</v>
      </c>
      <c r="B1202" t="s">
        <v>8</v>
      </c>
      <c r="C1202">
        <v>28</v>
      </c>
      <c r="D1202">
        <v>29</v>
      </c>
      <c r="E1202">
        <v>1613.49</v>
      </c>
      <c r="F1202">
        <v>4.25</v>
      </c>
      <c r="G1202">
        <v>86.2</v>
      </c>
    </row>
    <row r="1203" spans="1:7" ht="14" x14ac:dyDescent="0.3">
      <c r="A1203" t="s">
        <v>1228</v>
      </c>
      <c r="B1203" t="s">
        <v>8</v>
      </c>
      <c r="C1203">
        <v>6</v>
      </c>
      <c r="D1203">
        <v>6</v>
      </c>
      <c r="E1203">
        <v>1612.03</v>
      </c>
      <c r="F1203">
        <v>3</v>
      </c>
      <c r="G1203">
        <v>83.3</v>
      </c>
    </row>
    <row r="1204" spans="1:7" ht="14" x14ac:dyDescent="0.3">
      <c r="A1204" t="s">
        <v>1229</v>
      </c>
      <c r="B1204" t="s">
        <v>8</v>
      </c>
      <c r="C1204">
        <v>3</v>
      </c>
      <c r="D1204">
        <v>5</v>
      </c>
      <c r="E1204">
        <v>1611.55</v>
      </c>
      <c r="F1204">
        <v>4.8</v>
      </c>
      <c r="G1204">
        <v>80</v>
      </c>
    </row>
    <row r="1205" spans="1:7" ht="14" x14ac:dyDescent="0.3">
      <c r="A1205" t="s">
        <v>1230</v>
      </c>
      <c r="B1205" t="s">
        <v>42</v>
      </c>
      <c r="C1205">
        <v>6</v>
      </c>
      <c r="D1205">
        <v>6</v>
      </c>
      <c r="E1205">
        <v>1609.73</v>
      </c>
      <c r="F1205">
        <v>5</v>
      </c>
      <c r="G1205">
        <v>100</v>
      </c>
    </row>
    <row r="1206" spans="1:7" ht="14" x14ac:dyDescent="0.3">
      <c r="A1206" t="s">
        <v>1231</v>
      </c>
      <c r="B1206" t="s">
        <v>8</v>
      </c>
      <c r="C1206">
        <v>14</v>
      </c>
      <c r="D1206">
        <v>14</v>
      </c>
      <c r="E1206">
        <v>1607.68</v>
      </c>
      <c r="F1206">
        <v>4.5</v>
      </c>
      <c r="G1206">
        <v>100</v>
      </c>
    </row>
    <row r="1207" spans="1:7" ht="14" x14ac:dyDescent="0.3">
      <c r="A1207" t="s">
        <v>1232</v>
      </c>
      <c r="B1207" t="s">
        <v>24</v>
      </c>
      <c r="C1207">
        <v>12</v>
      </c>
      <c r="D1207">
        <v>12</v>
      </c>
      <c r="E1207">
        <v>1606.63</v>
      </c>
      <c r="F1207">
        <v>4.75</v>
      </c>
      <c r="G1207">
        <v>100</v>
      </c>
    </row>
    <row r="1208" spans="1:7" ht="14" x14ac:dyDescent="0.3">
      <c r="A1208" t="s">
        <v>1233</v>
      </c>
      <c r="B1208" t="s">
        <v>22</v>
      </c>
      <c r="C1208">
        <v>17</v>
      </c>
      <c r="D1208">
        <v>18</v>
      </c>
      <c r="E1208">
        <v>1605.58</v>
      </c>
      <c r="F1208">
        <v>4.1100000000000003</v>
      </c>
      <c r="G1208">
        <v>88.9</v>
      </c>
    </row>
    <row r="1209" spans="1:7" ht="14" x14ac:dyDescent="0.3">
      <c r="A1209" t="s">
        <v>1234</v>
      </c>
      <c r="B1209" t="s">
        <v>32</v>
      </c>
      <c r="C1209">
        <v>20</v>
      </c>
      <c r="D1209">
        <v>21</v>
      </c>
      <c r="E1209">
        <v>1604</v>
      </c>
      <c r="F1209">
        <v>3.3</v>
      </c>
      <c r="G1209">
        <v>85.7</v>
      </c>
    </row>
    <row r="1210" spans="1:7" ht="14" x14ac:dyDescent="0.3">
      <c r="A1210" t="s">
        <v>1235</v>
      </c>
      <c r="B1210" t="s">
        <v>8</v>
      </c>
      <c r="C1210">
        <v>8</v>
      </c>
      <c r="D1210">
        <v>8</v>
      </c>
      <c r="E1210">
        <v>1602.57</v>
      </c>
      <c r="F1210">
        <v>4.5</v>
      </c>
      <c r="G1210">
        <v>100</v>
      </c>
    </row>
    <row r="1211" spans="1:7" ht="14" x14ac:dyDescent="0.3">
      <c r="A1211" t="s">
        <v>1236</v>
      </c>
      <c r="B1211" t="s">
        <v>8</v>
      </c>
      <c r="C1211">
        <v>5</v>
      </c>
      <c r="D1211">
        <v>5</v>
      </c>
      <c r="E1211">
        <v>1602.42</v>
      </c>
      <c r="F1211">
        <v>4.2</v>
      </c>
      <c r="G1211">
        <v>100</v>
      </c>
    </row>
    <row r="1212" spans="1:7" ht="14" x14ac:dyDescent="0.3">
      <c r="A1212" t="s">
        <v>1237</v>
      </c>
      <c r="B1212" t="s">
        <v>8</v>
      </c>
      <c r="C1212">
        <v>13</v>
      </c>
      <c r="D1212">
        <v>13</v>
      </c>
      <c r="E1212">
        <v>1600.88</v>
      </c>
      <c r="F1212">
        <v>4.2300000000000004</v>
      </c>
      <c r="G1212">
        <v>84.6</v>
      </c>
    </row>
    <row r="1213" spans="1:7" ht="14" x14ac:dyDescent="0.3">
      <c r="A1213" t="s">
        <v>1238</v>
      </c>
      <c r="B1213" t="s">
        <v>24</v>
      </c>
      <c r="C1213">
        <v>16</v>
      </c>
      <c r="D1213">
        <v>31</v>
      </c>
      <c r="E1213">
        <v>1597.63</v>
      </c>
      <c r="F1213">
        <v>3.35</v>
      </c>
      <c r="G1213">
        <v>83.9</v>
      </c>
    </row>
    <row r="1214" spans="1:7" ht="14" x14ac:dyDescent="0.3">
      <c r="A1214" t="s">
        <v>1239</v>
      </c>
      <c r="B1214" t="s">
        <v>8</v>
      </c>
      <c r="C1214">
        <v>3</v>
      </c>
      <c r="D1214">
        <v>3</v>
      </c>
      <c r="E1214">
        <v>1596.66</v>
      </c>
      <c r="F1214">
        <v>5</v>
      </c>
      <c r="G1214">
        <v>100</v>
      </c>
    </row>
    <row r="1215" spans="1:7" ht="14" x14ac:dyDescent="0.3">
      <c r="A1215" t="s">
        <v>1240</v>
      </c>
      <c r="B1215" t="s">
        <v>8</v>
      </c>
      <c r="C1215">
        <v>23</v>
      </c>
      <c r="D1215">
        <v>23</v>
      </c>
      <c r="E1215">
        <v>1593.82</v>
      </c>
      <c r="F1215">
        <v>4.17</v>
      </c>
      <c r="G1215">
        <v>100</v>
      </c>
    </row>
    <row r="1216" spans="1:7" ht="14" x14ac:dyDescent="0.3">
      <c r="A1216" t="s">
        <v>1241</v>
      </c>
      <c r="B1216" t="s">
        <v>32</v>
      </c>
      <c r="C1216">
        <v>14</v>
      </c>
      <c r="D1216">
        <v>14</v>
      </c>
      <c r="E1216">
        <v>1591.88</v>
      </c>
      <c r="F1216">
        <v>4.46</v>
      </c>
      <c r="G1216">
        <v>92.9</v>
      </c>
    </row>
    <row r="1217" spans="1:7" ht="14" x14ac:dyDescent="0.3">
      <c r="A1217" t="s">
        <v>1242</v>
      </c>
      <c r="B1217" t="s">
        <v>8</v>
      </c>
      <c r="C1217">
        <v>9</v>
      </c>
      <c r="D1217">
        <v>9</v>
      </c>
      <c r="E1217">
        <v>1587.22</v>
      </c>
      <c r="F1217">
        <v>4.75</v>
      </c>
      <c r="G1217">
        <v>100</v>
      </c>
    </row>
    <row r="1218" spans="1:7" ht="14" x14ac:dyDescent="0.3">
      <c r="A1218" t="s">
        <v>1243</v>
      </c>
      <c r="B1218" t="s">
        <v>8</v>
      </c>
      <c r="C1218">
        <v>8</v>
      </c>
      <c r="D1218">
        <v>8</v>
      </c>
      <c r="E1218">
        <v>1579.66</v>
      </c>
      <c r="F1218">
        <v>3.88</v>
      </c>
      <c r="G1218">
        <v>75</v>
      </c>
    </row>
    <row r="1219" spans="1:7" ht="14" x14ac:dyDescent="0.3">
      <c r="A1219" t="s">
        <v>1244</v>
      </c>
      <c r="B1219" t="s">
        <v>32</v>
      </c>
      <c r="C1219">
        <v>11</v>
      </c>
      <c r="D1219">
        <v>12</v>
      </c>
      <c r="E1219">
        <v>1579</v>
      </c>
      <c r="F1219">
        <v>4.17</v>
      </c>
      <c r="G1219">
        <v>100</v>
      </c>
    </row>
    <row r="1220" spans="1:7" ht="14" x14ac:dyDescent="0.3">
      <c r="A1220" t="s">
        <v>1245</v>
      </c>
      <c r="B1220" t="s">
        <v>22</v>
      </c>
      <c r="C1220">
        <v>10</v>
      </c>
      <c r="D1220">
        <v>10</v>
      </c>
      <c r="E1220">
        <v>1578.02</v>
      </c>
      <c r="F1220">
        <v>4.3</v>
      </c>
      <c r="G1220">
        <v>90</v>
      </c>
    </row>
    <row r="1221" spans="1:7" ht="14" x14ac:dyDescent="0.3">
      <c r="A1221" t="s">
        <v>1246</v>
      </c>
      <c r="B1221" t="s">
        <v>8</v>
      </c>
      <c r="C1221">
        <v>10</v>
      </c>
      <c r="D1221">
        <v>10</v>
      </c>
      <c r="E1221">
        <v>1576.15</v>
      </c>
      <c r="F1221">
        <v>4.5</v>
      </c>
      <c r="G1221">
        <v>100</v>
      </c>
    </row>
    <row r="1222" spans="1:7" ht="14" x14ac:dyDescent="0.3">
      <c r="A1222" t="s">
        <v>1247</v>
      </c>
      <c r="B1222" t="s">
        <v>8</v>
      </c>
      <c r="C1222">
        <v>8</v>
      </c>
      <c r="D1222">
        <v>8</v>
      </c>
      <c r="E1222">
        <v>1573.77</v>
      </c>
      <c r="F1222">
        <v>4.63</v>
      </c>
      <c r="G1222">
        <v>100</v>
      </c>
    </row>
    <row r="1223" spans="1:7" ht="14" x14ac:dyDescent="0.3">
      <c r="A1223" t="s">
        <v>1248</v>
      </c>
      <c r="B1223" t="s">
        <v>8</v>
      </c>
      <c r="C1223">
        <v>3</v>
      </c>
      <c r="D1223">
        <v>4</v>
      </c>
      <c r="E1223">
        <v>1572.28</v>
      </c>
      <c r="F1223">
        <v>4.25</v>
      </c>
      <c r="G1223">
        <v>100</v>
      </c>
    </row>
    <row r="1224" spans="1:7" ht="14" x14ac:dyDescent="0.3">
      <c r="A1224" s="1" t="s">
        <v>1249</v>
      </c>
      <c r="B1224" t="s">
        <v>8</v>
      </c>
      <c r="C1224">
        <v>16</v>
      </c>
      <c r="D1224">
        <v>17</v>
      </c>
      <c r="E1224">
        <v>1571.71</v>
      </c>
      <c r="F1224">
        <v>4.0599999999999996</v>
      </c>
      <c r="G1224">
        <v>100</v>
      </c>
    </row>
    <row r="1225" spans="1:7" ht="14" x14ac:dyDescent="0.3">
      <c r="A1225" t="s">
        <v>1250</v>
      </c>
      <c r="B1225" t="s">
        <v>8</v>
      </c>
      <c r="C1225">
        <v>15</v>
      </c>
      <c r="D1225">
        <v>17</v>
      </c>
      <c r="E1225">
        <v>1569.24</v>
      </c>
      <c r="F1225">
        <v>4.47</v>
      </c>
      <c r="G1225">
        <v>100</v>
      </c>
    </row>
    <row r="1226" spans="1:7" ht="14" x14ac:dyDescent="0.3">
      <c r="A1226" t="s">
        <v>1251</v>
      </c>
      <c r="B1226" t="s">
        <v>22</v>
      </c>
      <c r="C1226">
        <v>6</v>
      </c>
      <c r="D1226">
        <v>6</v>
      </c>
      <c r="E1226">
        <v>1564.72</v>
      </c>
      <c r="F1226">
        <v>5</v>
      </c>
      <c r="G1226">
        <v>100</v>
      </c>
    </row>
    <row r="1227" spans="1:7" ht="14" x14ac:dyDescent="0.3">
      <c r="A1227" t="s">
        <v>1252</v>
      </c>
      <c r="B1227" t="s">
        <v>8</v>
      </c>
      <c r="C1227">
        <v>21</v>
      </c>
      <c r="D1227">
        <v>22</v>
      </c>
      <c r="E1227">
        <v>1564.53</v>
      </c>
      <c r="F1227">
        <v>4.32</v>
      </c>
      <c r="G1227">
        <v>100</v>
      </c>
    </row>
    <row r="1228" spans="1:7" ht="14" x14ac:dyDescent="0.3">
      <c r="A1228" t="s">
        <v>1253</v>
      </c>
      <c r="B1228" t="s">
        <v>22</v>
      </c>
      <c r="C1228">
        <v>10</v>
      </c>
      <c r="D1228">
        <v>10</v>
      </c>
      <c r="E1228">
        <v>1563.68</v>
      </c>
      <c r="F1228">
        <v>4.4000000000000004</v>
      </c>
      <c r="G1228">
        <v>80</v>
      </c>
    </row>
    <row r="1229" spans="1:7" ht="14" x14ac:dyDescent="0.3">
      <c r="A1229" t="s">
        <v>1254</v>
      </c>
      <c r="B1229" t="s">
        <v>8</v>
      </c>
      <c r="C1229">
        <v>22</v>
      </c>
      <c r="D1229">
        <v>27</v>
      </c>
      <c r="E1229">
        <v>1559.73</v>
      </c>
      <c r="F1229">
        <v>3.81</v>
      </c>
      <c r="G1229">
        <v>96.3</v>
      </c>
    </row>
    <row r="1230" spans="1:7" ht="14" x14ac:dyDescent="0.3">
      <c r="A1230" t="s">
        <v>1255</v>
      </c>
      <c r="B1230" t="s">
        <v>42</v>
      </c>
      <c r="C1230">
        <v>7</v>
      </c>
      <c r="D1230">
        <v>13</v>
      </c>
      <c r="E1230">
        <v>1558.73</v>
      </c>
      <c r="F1230">
        <v>5</v>
      </c>
      <c r="G1230">
        <v>100</v>
      </c>
    </row>
    <row r="1231" spans="1:7" ht="14" x14ac:dyDescent="0.3">
      <c r="A1231" t="s">
        <v>1256</v>
      </c>
      <c r="B1231" t="s">
        <v>8</v>
      </c>
      <c r="C1231">
        <v>13</v>
      </c>
      <c r="D1231">
        <v>16</v>
      </c>
      <c r="E1231">
        <v>1557.55</v>
      </c>
      <c r="F1231">
        <v>3.81</v>
      </c>
      <c r="G1231">
        <v>93.8</v>
      </c>
    </row>
    <row r="1232" spans="1:7" ht="14" x14ac:dyDescent="0.3">
      <c r="A1232" t="s">
        <v>1257</v>
      </c>
      <c r="B1232" t="s">
        <v>24</v>
      </c>
      <c r="C1232">
        <v>24</v>
      </c>
      <c r="D1232">
        <v>24</v>
      </c>
      <c r="E1232">
        <v>1557.09</v>
      </c>
      <c r="F1232">
        <v>4.09</v>
      </c>
      <c r="G1232">
        <v>91.7</v>
      </c>
    </row>
    <row r="1233" spans="1:7" ht="14" x14ac:dyDescent="0.3">
      <c r="A1233" t="s">
        <v>1258</v>
      </c>
      <c r="B1233" t="s">
        <v>8</v>
      </c>
      <c r="C1233">
        <v>1</v>
      </c>
      <c r="D1233">
        <v>1</v>
      </c>
      <c r="E1233">
        <v>1556.7</v>
      </c>
      <c r="F1233">
        <v>5</v>
      </c>
      <c r="G1233">
        <v>100</v>
      </c>
    </row>
    <row r="1234" spans="1:7" ht="14" x14ac:dyDescent="0.3">
      <c r="A1234" t="s">
        <v>1259</v>
      </c>
      <c r="B1234" t="s">
        <v>8</v>
      </c>
      <c r="C1234">
        <v>18</v>
      </c>
      <c r="D1234">
        <v>18</v>
      </c>
      <c r="E1234">
        <v>1553.95</v>
      </c>
      <c r="F1234">
        <v>4.67</v>
      </c>
      <c r="G1234">
        <v>100</v>
      </c>
    </row>
    <row r="1235" spans="1:7" ht="14" x14ac:dyDescent="0.3">
      <c r="A1235" t="s">
        <v>1260</v>
      </c>
      <c r="B1235" t="s">
        <v>8</v>
      </c>
      <c r="C1235">
        <v>3</v>
      </c>
      <c r="D1235">
        <v>7</v>
      </c>
      <c r="E1235">
        <v>1552.57</v>
      </c>
      <c r="F1235">
        <v>3.14</v>
      </c>
      <c r="G1235">
        <v>42.9</v>
      </c>
    </row>
    <row r="1236" spans="1:7" ht="14" x14ac:dyDescent="0.3">
      <c r="A1236" t="s">
        <v>1261</v>
      </c>
      <c r="B1236" t="s">
        <v>8</v>
      </c>
      <c r="C1236">
        <v>3</v>
      </c>
      <c r="D1236">
        <v>3</v>
      </c>
      <c r="E1236">
        <v>1550.64</v>
      </c>
      <c r="F1236">
        <v>4.67</v>
      </c>
      <c r="G1236">
        <v>100</v>
      </c>
    </row>
    <row r="1237" spans="1:7" ht="14" x14ac:dyDescent="0.3">
      <c r="A1237" t="s">
        <v>1262</v>
      </c>
      <c r="B1237" t="s">
        <v>8</v>
      </c>
      <c r="C1237">
        <v>15</v>
      </c>
      <c r="D1237">
        <v>18</v>
      </c>
      <c r="E1237">
        <v>1549.39</v>
      </c>
      <c r="F1237">
        <v>4.5599999999999996</v>
      </c>
      <c r="G1237">
        <v>94.4</v>
      </c>
    </row>
    <row r="1238" spans="1:7" ht="14" x14ac:dyDescent="0.3">
      <c r="A1238" t="s">
        <v>1263</v>
      </c>
      <c r="B1238" t="s">
        <v>42</v>
      </c>
      <c r="C1238">
        <v>6</v>
      </c>
      <c r="D1238">
        <v>6</v>
      </c>
      <c r="E1238">
        <v>1547.7</v>
      </c>
      <c r="F1238">
        <v>5</v>
      </c>
      <c r="G1238">
        <v>100</v>
      </c>
    </row>
    <row r="1239" spans="1:7" ht="14" x14ac:dyDescent="0.3">
      <c r="A1239" t="s">
        <v>1264</v>
      </c>
      <c r="B1239" t="s">
        <v>8</v>
      </c>
      <c r="C1239">
        <v>3</v>
      </c>
      <c r="D1239">
        <v>3</v>
      </c>
      <c r="E1239">
        <v>1546.84</v>
      </c>
      <c r="F1239">
        <v>2.67</v>
      </c>
      <c r="G1239">
        <v>100</v>
      </c>
    </row>
    <row r="1240" spans="1:7" ht="14" x14ac:dyDescent="0.3">
      <c r="A1240" t="s">
        <v>1265</v>
      </c>
      <c r="B1240" t="s">
        <v>24</v>
      </c>
      <c r="C1240">
        <v>12</v>
      </c>
      <c r="D1240">
        <v>12</v>
      </c>
      <c r="E1240">
        <v>1545.83</v>
      </c>
      <c r="F1240">
        <v>4.33</v>
      </c>
      <c r="G1240">
        <v>91.7</v>
      </c>
    </row>
    <row r="1241" spans="1:7" ht="14" x14ac:dyDescent="0.3">
      <c r="A1241" t="s">
        <v>1266</v>
      </c>
      <c r="B1241" t="s">
        <v>8</v>
      </c>
      <c r="C1241">
        <v>16</v>
      </c>
      <c r="D1241">
        <v>16</v>
      </c>
      <c r="E1241">
        <v>1544.59</v>
      </c>
      <c r="F1241">
        <v>4.38</v>
      </c>
      <c r="G1241">
        <v>87.5</v>
      </c>
    </row>
    <row r="1242" spans="1:7" ht="14" x14ac:dyDescent="0.3">
      <c r="A1242" t="s">
        <v>1267</v>
      </c>
      <c r="B1242" t="s">
        <v>8</v>
      </c>
      <c r="C1242">
        <v>13</v>
      </c>
      <c r="D1242">
        <v>13</v>
      </c>
      <c r="E1242">
        <v>1539.7</v>
      </c>
      <c r="F1242">
        <v>4.92</v>
      </c>
      <c r="G1242">
        <v>100</v>
      </c>
    </row>
    <row r="1243" spans="1:7" ht="14" x14ac:dyDescent="0.3">
      <c r="A1243" t="s">
        <v>1268</v>
      </c>
      <c r="B1243" t="s">
        <v>8</v>
      </c>
      <c r="C1243">
        <v>39</v>
      </c>
      <c r="D1243">
        <v>48</v>
      </c>
      <c r="E1243">
        <v>1533.95</v>
      </c>
      <c r="F1243">
        <v>4.4000000000000004</v>
      </c>
      <c r="G1243">
        <v>95.8</v>
      </c>
    </row>
    <row r="1244" spans="1:7" ht="14" x14ac:dyDescent="0.3">
      <c r="A1244" t="s">
        <v>1269</v>
      </c>
      <c r="B1244" t="s">
        <v>8</v>
      </c>
      <c r="C1244">
        <v>5</v>
      </c>
      <c r="D1244">
        <v>5</v>
      </c>
      <c r="E1244">
        <v>1533.71</v>
      </c>
      <c r="F1244">
        <v>5</v>
      </c>
      <c r="G1244">
        <v>100</v>
      </c>
    </row>
    <row r="1245" spans="1:7" ht="14" x14ac:dyDescent="0.3">
      <c r="A1245" t="s">
        <v>1270</v>
      </c>
      <c r="B1245" t="s">
        <v>8</v>
      </c>
      <c r="C1245">
        <v>11</v>
      </c>
      <c r="D1245">
        <v>11</v>
      </c>
      <c r="E1245">
        <v>1532.43</v>
      </c>
      <c r="F1245">
        <v>4.2699999999999996</v>
      </c>
      <c r="G1245">
        <v>90.9</v>
      </c>
    </row>
    <row r="1246" spans="1:7" ht="14" x14ac:dyDescent="0.3">
      <c r="A1246" t="s">
        <v>1271</v>
      </c>
      <c r="B1246" t="s">
        <v>22</v>
      </c>
      <c r="C1246">
        <v>33</v>
      </c>
      <c r="D1246">
        <v>37</v>
      </c>
      <c r="E1246">
        <v>1530.25</v>
      </c>
      <c r="F1246">
        <v>4.54</v>
      </c>
      <c r="G1246">
        <v>89.2</v>
      </c>
    </row>
    <row r="1247" spans="1:7" ht="14" x14ac:dyDescent="0.3">
      <c r="A1247" t="s">
        <v>1272</v>
      </c>
      <c r="B1247" t="s">
        <v>8</v>
      </c>
      <c r="C1247">
        <v>3</v>
      </c>
      <c r="D1247">
        <v>4</v>
      </c>
      <c r="E1247">
        <v>1526.76</v>
      </c>
      <c r="F1247">
        <v>2.5</v>
      </c>
      <c r="G1247">
        <v>75</v>
      </c>
    </row>
    <row r="1248" spans="1:7" ht="14" x14ac:dyDescent="0.3">
      <c r="A1248" t="s">
        <v>1273</v>
      </c>
      <c r="B1248" t="s">
        <v>32</v>
      </c>
      <c r="C1248">
        <v>11</v>
      </c>
      <c r="D1248">
        <v>14</v>
      </c>
      <c r="E1248">
        <v>1522.93</v>
      </c>
      <c r="F1248">
        <v>3.36</v>
      </c>
      <c r="G1248">
        <v>100</v>
      </c>
    </row>
    <row r="1249" spans="1:7" ht="14" x14ac:dyDescent="0.3">
      <c r="A1249" t="s">
        <v>1274</v>
      </c>
      <c r="B1249" t="s">
        <v>8</v>
      </c>
      <c r="C1249">
        <v>18</v>
      </c>
      <c r="D1249">
        <v>38</v>
      </c>
      <c r="E1249">
        <v>1522.68</v>
      </c>
      <c r="F1249">
        <v>2.66</v>
      </c>
      <c r="G1249">
        <v>100</v>
      </c>
    </row>
    <row r="1250" spans="1:7" ht="14" x14ac:dyDescent="0.3">
      <c r="A1250" t="s">
        <v>1275</v>
      </c>
      <c r="B1250" t="s">
        <v>8</v>
      </c>
      <c r="C1250">
        <v>13</v>
      </c>
      <c r="D1250">
        <v>15</v>
      </c>
      <c r="E1250">
        <v>1519.37</v>
      </c>
      <c r="F1250">
        <v>4.8</v>
      </c>
      <c r="G1250">
        <v>93.3</v>
      </c>
    </row>
    <row r="1251" spans="1:7" ht="14" x14ac:dyDescent="0.3">
      <c r="A1251" t="s">
        <v>1276</v>
      </c>
      <c r="B1251" t="s">
        <v>22</v>
      </c>
      <c r="C1251">
        <v>18</v>
      </c>
      <c r="D1251">
        <v>22</v>
      </c>
      <c r="E1251">
        <v>1515.35</v>
      </c>
      <c r="F1251">
        <v>4.45</v>
      </c>
      <c r="G1251">
        <v>95.5</v>
      </c>
    </row>
    <row r="1252" spans="1:7" ht="14" x14ac:dyDescent="0.3">
      <c r="A1252" t="s">
        <v>1277</v>
      </c>
      <c r="B1252" t="s">
        <v>24</v>
      </c>
      <c r="C1252">
        <v>6</v>
      </c>
      <c r="D1252">
        <v>7</v>
      </c>
      <c r="E1252">
        <v>1515.27</v>
      </c>
      <c r="F1252">
        <v>5</v>
      </c>
      <c r="G1252">
        <v>100</v>
      </c>
    </row>
    <row r="1253" spans="1:7" ht="14" x14ac:dyDescent="0.3">
      <c r="A1253" t="s">
        <v>1278</v>
      </c>
      <c r="B1253" t="s">
        <v>8</v>
      </c>
      <c r="C1253">
        <v>9</v>
      </c>
      <c r="D1253">
        <v>9</v>
      </c>
      <c r="E1253">
        <v>1514.34</v>
      </c>
      <c r="F1253">
        <v>4.8899999999999997</v>
      </c>
      <c r="G1253">
        <v>100</v>
      </c>
    </row>
    <row r="1254" spans="1:7" ht="14" x14ac:dyDescent="0.3">
      <c r="A1254" s="1" t="s">
        <v>1279</v>
      </c>
      <c r="B1254" t="s">
        <v>24</v>
      </c>
      <c r="C1254">
        <v>31</v>
      </c>
      <c r="D1254">
        <v>46</v>
      </c>
      <c r="E1254">
        <v>1514.25</v>
      </c>
      <c r="F1254">
        <v>4.17</v>
      </c>
      <c r="G1254">
        <v>95.7</v>
      </c>
    </row>
    <row r="1255" spans="1:7" ht="14" x14ac:dyDescent="0.3">
      <c r="A1255" t="s">
        <v>1280</v>
      </c>
      <c r="B1255" t="s">
        <v>22</v>
      </c>
      <c r="C1255">
        <v>29</v>
      </c>
      <c r="D1255">
        <v>30</v>
      </c>
      <c r="E1255">
        <v>1513.78</v>
      </c>
      <c r="F1255">
        <v>4.17</v>
      </c>
      <c r="G1255">
        <v>96.7</v>
      </c>
    </row>
    <row r="1256" spans="1:7" ht="14" x14ac:dyDescent="0.3">
      <c r="A1256" t="s">
        <v>1281</v>
      </c>
      <c r="B1256" t="s">
        <v>8</v>
      </c>
      <c r="C1256">
        <v>1</v>
      </c>
      <c r="D1256">
        <v>1</v>
      </c>
      <c r="E1256">
        <v>1511.86</v>
      </c>
      <c r="F1256">
        <v>1</v>
      </c>
      <c r="G1256">
        <v>0</v>
      </c>
    </row>
    <row r="1257" spans="1:7" ht="14" x14ac:dyDescent="0.3">
      <c r="A1257" t="s">
        <v>1282</v>
      </c>
      <c r="B1257" t="s">
        <v>22</v>
      </c>
      <c r="C1257">
        <v>18</v>
      </c>
      <c r="D1257">
        <v>18</v>
      </c>
      <c r="E1257">
        <v>1505.47</v>
      </c>
      <c r="F1257">
        <v>4.1100000000000003</v>
      </c>
      <c r="G1257">
        <v>94.4</v>
      </c>
    </row>
    <row r="1258" spans="1:7" ht="14" x14ac:dyDescent="0.3">
      <c r="A1258" t="s">
        <v>1283</v>
      </c>
      <c r="B1258" t="s">
        <v>8</v>
      </c>
      <c r="C1258">
        <v>17</v>
      </c>
      <c r="D1258">
        <v>18</v>
      </c>
      <c r="E1258">
        <v>1503.55</v>
      </c>
      <c r="F1258">
        <v>4.5599999999999996</v>
      </c>
      <c r="G1258">
        <v>94.4</v>
      </c>
    </row>
    <row r="1259" spans="1:7" ht="14" x14ac:dyDescent="0.3">
      <c r="A1259" t="s">
        <v>1284</v>
      </c>
      <c r="B1259" t="s">
        <v>24</v>
      </c>
      <c r="C1259">
        <v>3</v>
      </c>
      <c r="D1259">
        <v>3</v>
      </c>
      <c r="E1259">
        <v>1503.45</v>
      </c>
      <c r="F1259">
        <v>5</v>
      </c>
      <c r="G1259">
        <v>66.7</v>
      </c>
    </row>
    <row r="1260" spans="1:7" ht="14" x14ac:dyDescent="0.3">
      <c r="A1260" t="s">
        <v>1285</v>
      </c>
      <c r="B1260" t="s">
        <v>8</v>
      </c>
      <c r="C1260">
        <v>13</v>
      </c>
      <c r="D1260">
        <v>13</v>
      </c>
      <c r="E1260">
        <v>1502.02</v>
      </c>
      <c r="F1260">
        <v>4.08</v>
      </c>
      <c r="G1260">
        <v>92.3</v>
      </c>
    </row>
    <row r="1261" spans="1:7" ht="14" x14ac:dyDescent="0.3">
      <c r="A1261" t="s">
        <v>1286</v>
      </c>
      <c r="B1261" t="s">
        <v>8</v>
      </c>
      <c r="C1261">
        <v>7</v>
      </c>
      <c r="D1261">
        <v>8</v>
      </c>
      <c r="E1261">
        <v>1501.71</v>
      </c>
      <c r="F1261">
        <v>4.38</v>
      </c>
      <c r="G1261">
        <v>100</v>
      </c>
    </row>
    <row r="1262" spans="1:7" ht="14" x14ac:dyDescent="0.3">
      <c r="A1262" t="s">
        <v>1287</v>
      </c>
      <c r="B1262" t="s">
        <v>42</v>
      </c>
      <c r="C1262">
        <v>9</v>
      </c>
      <c r="D1262">
        <v>9</v>
      </c>
      <c r="E1262">
        <v>1499.6</v>
      </c>
      <c r="F1262">
        <v>4.4400000000000004</v>
      </c>
      <c r="G1262">
        <v>100</v>
      </c>
    </row>
    <row r="1263" spans="1:7" ht="14" x14ac:dyDescent="0.3">
      <c r="A1263" t="s">
        <v>1288</v>
      </c>
      <c r="B1263" t="s">
        <v>8</v>
      </c>
      <c r="C1263">
        <v>16</v>
      </c>
      <c r="D1263">
        <v>17</v>
      </c>
      <c r="E1263">
        <v>1498.28</v>
      </c>
      <c r="F1263">
        <v>4.18</v>
      </c>
      <c r="G1263">
        <v>100</v>
      </c>
    </row>
    <row r="1264" spans="1:7" ht="14" x14ac:dyDescent="0.3">
      <c r="A1264" t="s">
        <v>1289</v>
      </c>
      <c r="B1264" t="s">
        <v>8</v>
      </c>
      <c r="C1264">
        <v>7</v>
      </c>
      <c r="D1264">
        <v>7</v>
      </c>
      <c r="E1264">
        <v>1493.23</v>
      </c>
      <c r="F1264">
        <v>3.57</v>
      </c>
      <c r="G1264">
        <v>85.7</v>
      </c>
    </row>
    <row r="1265" spans="1:7" ht="14" x14ac:dyDescent="0.3">
      <c r="A1265" t="s">
        <v>1290</v>
      </c>
      <c r="B1265" t="s">
        <v>8</v>
      </c>
      <c r="C1265">
        <v>2</v>
      </c>
      <c r="D1265">
        <v>3</v>
      </c>
      <c r="E1265">
        <v>1487.88</v>
      </c>
      <c r="F1265">
        <v>3</v>
      </c>
      <c r="G1265">
        <v>100</v>
      </c>
    </row>
    <row r="1266" spans="1:7" ht="14" x14ac:dyDescent="0.3">
      <c r="A1266" t="s">
        <v>1291</v>
      </c>
      <c r="B1266" t="s">
        <v>87</v>
      </c>
      <c r="C1266">
        <v>8</v>
      </c>
      <c r="D1266">
        <v>8</v>
      </c>
      <c r="E1266">
        <v>1484.9</v>
      </c>
      <c r="F1266">
        <v>4.88</v>
      </c>
      <c r="G1266">
        <v>100</v>
      </c>
    </row>
    <row r="1267" spans="1:7" ht="14" x14ac:dyDescent="0.3">
      <c r="A1267" t="s">
        <v>1292</v>
      </c>
      <c r="B1267" t="s">
        <v>8</v>
      </c>
      <c r="C1267">
        <v>12</v>
      </c>
      <c r="D1267">
        <v>14</v>
      </c>
      <c r="E1267">
        <v>1483.48</v>
      </c>
      <c r="F1267">
        <v>4.08</v>
      </c>
      <c r="G1267">
        <v>100</v>
      </c>
    </row>
    <row r="1268" spans="1:7" ht="14" x14ac:dyDescent="0.3">
      <c r="A1268" t="s">
        <v>1293</v>
      </c>
      <c r="B1268" t="s">
        <v>8</v>
      </c>
      <c r="C1268">
        <v>7</v>
      </c>
      <c r="D1268">
        <v>7</v>
      </c>
      <c r="E1268">
        <v>1482.47</v>
      </c>
      <c r="F1268">
        <v>1.83</v>
      </c>
      <c r="G1268">
        <v>100</v>
      </c>
    </row>
    <row r="1269" spans="1:7" ht="14" x14ac:dyDescent="0.3">
      <c r="A1269" t="s">
        <v>1294</v>
      </c>
      <c r="B1269" t="s">
        <v>24</v>
      </c>
      <c r="C1269">
        <v>9</v>
      </c>
      <c r="D1269">
        <v>10</v>
      </c>
      <c r="E1269">
        <v>1478.43</v>
      </c>
      <c r="F1269">
        <v>4.7</v>
      </c>
      <c r="G1269">
        <v>100</v>
      </c>
    </row>
    <row r="1270" spans="1:7" ht="14" x14ac:dyDescent="0.3">
      <c r="A1270" t="s">
        <v>1295</v>
      </c>
      <c r="B1270" t="s">
        <v>87</v>
      </c>
      <c r="C1270">
        <v>12</v>
      </c>
      <c r="D1270">
        <v>12</v>
      </c>
      <c r="E1270">
        <v>1477.38</v>
      </c>
      <c r="F1270">
        <v>4.33</v>
      </c>
      <c r="G1270">
        <v>100</v>
      </c>
    </row>
    <row r="1271" spans="1:7" ht="14" x14ac:dyDescent="0.3">
      <c r="A1271" t="s">
        <v>1296</v>
      </c>
      <c r="B1271" t="s">
        <v>22</v>
      </c>
      <c r="C1271">
        <v>3</v>
      </c>
      <c r="D1271">
        <v>4</v>
      </c>
      <c r="E1271">
        <v>1475.24</v>
      </c>
      <c r="F1271">
        <v>2.75</v>
      </c>
      <c r="G1271">
        <v>100</v>
      </c>
    </row>
    <row r="1272" spans="1:7" ht="14" x14ac:dyDescent="0.3">
      <c r="A1272" t="s">
        <v>1297</v>
      </c>
      <c r="B1272" t="s">
        <v>87</v>
      </c>
      <c r="C1272">
        <v>1</v>
      </c>
      <c r="D1272">
        <v>2</v>
      </c>
      <c r="E1272">
        <v>1474.76</v>
      </c>
      <c r="F1272">
        <v>5</v>
      </c>
      <c r="G1272">
        <v>100</v>
      </c>
    </row>
    <row r="1273" spans="1:7" ht="14" x14ac:dyDescent="0.3">
      <c r="A1273" t="s">
        <v>1298</v>
      </c>
      <c r="B1273" t="s">
        <v>8</v>
      </c>
      <c r="C1273">
        <v>8</v>
      </c>
      <c r="D1273">
        <v>8</v>
      </c>
      <c r="E1273">
        <v>1466.12</v>
      </c>
      <c r="F1273">
        <v>3.88</v>
      </c>
      <c r="G1273">
        <v>100</v>
      </c>
    </row>
    <row r="1274" spans="1:7" ht="14" x14ac:dyDescent="0.3">
      <c r="A1274" t="s">
        <v>1299</v>
      </c>
      <c r="B1274" t="s">
        <v>309</v>
      </c>
      <c r="C1274">
        <v>8</v>
      </c>
      <c r="D1274">
        <v>8</v>
      </c>
      <c r="E1274">
        <v>1465.73</v>
      </c>
      <c r="F1274">
        <v>4.38</v>
      </c>
      <c r="G1274">
        <v>100</v>
      </c>
    </row>
    <row r="1275" spans="1:7" ht="14" x14ac:dyDescent="0.3">
      <c r="A1275" t="s">
        <v>1300</v>
      </c>
      <c r="B1275" t="s">
        <v>101</v>
      </c>
      <c r="C1275">
        <v>3</v>
      </c>
      <c r="D1275">
        <v>3</v>
      </c>
      <c r="E1275">
        <v>1460.85</v>
      </c>
      <c r="F1275">
        <v>3.33</v>
      </c>
      <c r="G1275">
        <v>100</v>
      </c>
    </row>
    <row r="1276" spans="1:7" ht="14" x14ac:dyDescent="0.3">
      <c r="A1276" t="s">
        <v>1301</v>
      </c>
      <c r="B1276" t="s">
        <v>42</v>
      </c>
      <c r="C1276">
        <v>2</v>
      </c>
      <c r="D1276">
        <v>2</v>
      </c>
      <c r="E1276">
        <v>1454.44</v>
      </c>
      <c r="F1276">
        <v>5</v>
      </c>
      <c r="G1276">
        <v>100</v>
      </c>
    </row>
    <row r="1277" spans="1:7" ht="14" x14ac:dyDescent="0.3">
      <c r="A1277" t="s">
        <v>1302</v>
      </c>
      <c r="B1277" t="s">
        <v>42</v>
      </c>
      <c r="C1277">
        <v>8</v>
      </c>
      <c r="D1277">
        <v>9</v>
      </c>
      <c r="E1277">
        <v>1451.56</v>
      </c>
      <c r="F1277">
        <v>4.8899999999999997</v>
      </c>
      <c r="G1277">
        <v>100</v>
      </c>
    </row>
    <row r="1278" spans="1:7" ht="14" x14ac:dyDescent="0.3">
      <c r="A1278" t="s">
        <v>1303</v>
      </c>
      <c r="B1278" t="s">
        <v>8</v>
      </c>
      <c r="C1278">
        <v>16</v>
      </c>
      <c r="D1278">
        <v>20</v>
      </c>
      <c r="E1278">
        <v>1449.77</v>
      </c>
      <c r="F1278">
        <v>4.1500000000000004</v>
      </c>
      <c r="G1278">
        <v>100</v>
      </c>
    </row>
    <row r="1279" spans="1:7" ht="14" x14ac:dyDescent="0.3">
      <c r="A1279" t="s">
        <v>1304</v>
      </c>
      <c r="B1279" t="s">
        <v>32</v>
      </c>
      <c r="C1279">
        <v>4</v>
      </c>
      <c r="D1279">
        <v>4</v>
      </c>
      <c r="E1279">
        <v>1449.64</v>
      </c>
      <c r="F1279">
        <v>3.25</v>
      </c>
      <c r="G1279">
        <v>100</v>
      </c>
    </row>
    <row r="1280" spans="1:7" ht="14" x14ac:dyDescent="0.3">
      <c r="A1280" t="s">
        <v>1305</v>
      </c>
      <c r="B1280" t="s">
        <v>8</v>
      </c>
      <c r="C1280">
        <v>2</v>
      </c>
      <c r="D1280">
        <v>2</v>
      </c>
      <c r="E1280">
        <v>1447.95</v>
      </c>
      <c r="F1280">
        <v>4.5</v>
      </c>
      <c r="G1280">
        <v>100</v>
      </c>
    </row>
    <row r="1281" spans="1:7" ht="14" x14ac:dyDescent="0.3">
      <c r="A1281" t="s">
        <v>1306</v>
      </c>
      <c r="B1281" t="s">
        <v>87</v>
      </c>
      <c r="C1281">
        <v>2</v>
      </c>
      <c r="D1281">
        <v>2</v>
      </c>
      <c r="E1281">
        <v>1444.37</v>
      </c>
      <c r="F1281">
        <v>3.5</v>
      </c>
      <c r="G1281">
        <v>100</v>
      </c>
    </row>
    <row r="1282" spans="1:7" ht="14" x14ac:dyDescent="0.3">
      <c r="A1282" t="s">
        <v>1307</v>
      </c>
      <c r="B1282" t="s">
        <v>8</v>
      </c>
      <c r="C1282">
        <v>14</v>
      </c>
      <c r="D1282">
        <v>14</v>
      </c>
      <c r="E1282">
        <v>1443.45</v>
      </c>
      <c r="F1282">
        <v>3.79</v>
      </c>
      <c r="G1282">
        <v>92.9</v>
      </c>
    </row>
    <row r="1283" spans="1:7" ht="14" x14ac:dyDescent="0.3">
      <c r="A1283" t="s">
        <v>1308</v>
      </c>
      <c r="B1283" t="s">
        <v>8</v>
      </c>
      <c r="C1283">
        <v>6</v>
      </c>
      <c r="D1283">
        <v>8</v>
      </c>
      <c r="E1283">
        <v>1442.93</v>
      </c>
      <c r="F1283">
        <v>4.13</v>
      </c>
      <c r="G1283">
        <v>100</v>
      </c>
    </row>
    <row r="1284" spans="1:7" ht="14" x14ac:dyDescent="0.3">
      <c r="A1284" t="s">
        <v>1309</v>
      </c>
      <c r="B1284" t="s">
        <v>8</v>
      </c>
      <c r="C1284">
        <v>7</v>
      </c>
      <c r="D1284">
        <v>7</v>
      </c>
      <c r="E1284">
        <v>1442.09</v>
      </c>
      <c r="F1284">
        <v>4.57</v>
      </c>
      <c r="G1284">
        <v>100</v>
      </c>
    </row>
    <row r="1285" spans="1:7" ht="14" x14ac:dyDescent="0.3">
      <c r="A1285" t="s">
        <v>1310</v>
      </c>
      <c r="B1285" t="s">
        <v>8</v>
      </c>
      <c r="C1285">
        <v>6</v>
      </c>
      <c r="D1285">
        <v>6</v>
      </c>
      <c r="E1285">
        <v>1441.69</v>
      </c>
      <c r="F1285">
        <v>3.4</v>
      </c>
      <c r="G1285">
        <v>100</v>
      </c>
    </row>
    <row r="1286" spans="1:7" ht="14" x14ac:dyDescent="0.3">
      <c r="A1286" t="s">
        <v>1311</v>
      </c>
      <c r="B1286" t="s">
        <v>42</v>
      </c>
      <c r="C1286">
        <v>6</v>
      </c>
      <c r="D1286">
        <v>6</v>
      </c>
      <c r="E1286">
        <v>1436.09</v>
      </c>
      <c r="F1286">
        <v>3.83</v>
      </c>
      <c r="G1286">
        <v>100</v>
      </c>
    </row>
    <row r="1287" spans="1:7" ht="14" x14ac:dyDescent="0.3">
      <c r="A1287" t="s">
        <v>1312</v>
      </c>
      <c r="B1287" t="s">
        <v>8</v>
      </c>
      <c r="C1287">
        <v>6</v>
      </c>
      <c r="D1287">
        <v>6</v>
      </c>
      <c r="E1287">
        <v>1435.62</v>
      </c>
      <c r="F1287">
        <v>4.83</v>
      </c>
      <c r="G1287">
        <v>100</v>
      </c>
    </row>
    <row r="1288" spans="1:7" ht="14" x14ac:dyDescent="0.3">
      <c r="A1288" t="s">
        <v>1313</v>
      </c>
      <c r="B1288" t="s">
        <v>8</v>
      </c>
      <c r="C1288">
        <v>1</v>
      </c>
      <c r="D1288">
        <v>1</v>
      </c>
      <c r="E1288">
        <v>1435.58</v>
      </c>
      <c r="F1288">
        <v>5</v>
      </c>
      <c r="G1288">
        <v>100</v>
      </c>
    </row>
    <row r="1289" spans="1:7" ht="14" x14ac:dyDescent="0.3">
      <c r="A1289" t="s">
        <v>1314</v>
      </c>
      <c r="B1289" t="s">
        <v>8</v>
      </c>
      <c r="C1289">
        <v>9</v>
      </c>
      <c r="D1289">
        <v>9</v>
      </c>
      <c r="E1289">
        <v>1435.18</v>
      </c>
      <c r="F1289">
        <v>3.44</v>
      </c>
      <c r="G1289">
        <v>77.8</v>
      </c>
    </row>
    <row r="1290" spans="1:7" ht="14" x14ac:dyDescent="0.3">
      <c r="A1290" t="s">
        <v>1315</v>
      </c>
      <c r="B1290" t="s">
        <v>8</v>
      </c>
      <c r="C1290">
        <v>36</v>
      </c>
      <c r="D1290">
        <v>46</v>
      </c>
      <c r="E1290">
        <v>1433.37</v>
      </c>
      <c r="F1290">
        <v>4.46</v>
      </c>
      <c r="G1290">
        <v>100</v>
      </c>
    </row>
    <row r="1291" spans="1:7" ht="14" x14ac:dyDescent="0.3">
      <c r="A1291" t="s">
        <v>1316</v>
      </c>
      <c r="B1291" t="s">
        <v>24</v>
      </c>
      <c r="C1291">
        <v>5</v>
      </c>
      <c r="D1291">
        <v>5</v>
      </c>
      <c r="E1291">
        <v>1428.22</v>
      </c>
      <c r="F1291">
        <v>3.2</v>
      </c>
      <c r="G1291">
        <v>80</v>
      </c>
    </row>
    <row r="1292" spans="1:7" ht="14" x14ac:dyDescent="0.3">
      <c r="A1292" t="s">
        <v>1317</v>
      </c>
      <c r="B1292" t="s">
        <v>8</v>
      </c>
      <c r="C1292">
        <v>10</v>
      </c>
      <c r="D1292">
        <v>16</v>
      </c>
      <c r="E1292">
        <v>1427.97</v>
      </c>
      <c r="F1292">
        <v>4.5599999999999996</v>
      </c>
      <c r="G1292">
        <v>100</v>
      </c>
    </row>
    <row r="1293" spans="1:7" ht="14" x14ac:dyDescent="0.3">
      <c r="A1293" t="s">
        <v>1318</v>
      </c>
      <c r="B1293" t="s">
        <v>8</v>
      </c>
      <c r="C1293">
        <v>11</v>
      </c>
      <c r="D1293">
        <v>26</v>
      </c>
      <c r="E1293">
        <v>1421.37</v>
      </c>
      <c r="F1293">
        <v>4.96</v>
      </c>
      <c r="G1293">
        <v>100</v>
      </c>
    </row>
    <row r="1294" spans="1:7" ht="14" x14ac:dyDescent="0.3">
      <c r="A1294" t="s">
        <v>1319</v>
      </c>
      <c r="B1294" t="s">
        <v>8</v>
      </c>
      <c r="C1294">
        <v>17</v>
      </c>
      <c r="D1294">
        <v>18</v>
      </c>
      <c r="E1294">
        <v>1420.2</v>
      </c>
      <c r="F1294">
        <v>3.94</v>
      </c>
      <c r="G1294">
        <v>100</v>
      </c>
    </row>
    <row r="1295" spans="1:7" ht="14" x14ac:dyDescent="0.3">
      <c r="A1295" t="s">
        <v>1320</v>
      </c>
      <c r="B1295" t="s">
        <v>8</v>
      </c>
      <c r="C1295">
        <v>2</v>
      </c>
      <c r="D1295">
        <v>2</v>
      </c>
      <c r="E1295">
        <v>1417.6</v>
      </c>
      <c r="F1295">
        <v>4</v>
      </c>
      <c r="G1295">
        <v>100</v>
      </c>
    </row>
    <row r="1296" spans="1:7" ht="14" x14ac:dyDescent="0.3">
      <c r="A1296" t="s">
        <v>1321</v>
      </c>
      <c r="B1296" t="s">
        <v>8</v>
      </c>
      <c r="C1296">
        <v>4</v>
      </c>
      <c r="D1296">
        <v>5</v>
      </c>
      <c r="E1296">
        <v>1415</v>
      </c>
      <c r="F1296">
        <v>4.4000000000000004</v>
      </c>
      <c r="G1296">
        <v>100</v>
      </c>
    </row>
    <row r="1297" spans="1:7" ht="14" x14ac:dyDescent="0.3">
      <c r="A1297" t="s">
        <v>1322</v>
      </c>
      <c r="B1297" t="s">
        <v>8</v>
      </c>
      <c r="C1297">
        <v>17</v>
      </c>
      <c r="D1297">
        <v>20</v>
      </c>
      <c r="E1297">
        <v>1413.52</v>
      </c>
      <c r="F1297">
        <v>4.8499999999999996</v>
      </c>
      <c r="G1297">
        <v>100</v>
      </c>
    </row>
    <row r="1298" spans="1:7" ht="14" x14ac:dyDescent="0.3">
      <c r="A1298" t="s">
        <v>1323</v>
      </c>
      <c r="B1298" t="s">
        <v>8</v>
      </c>
      <c r="C1298">
        <v>14</v>
      </c>
      <c r="D1298">
        <v>17</v>
      </c>
      <c r="E1298">
        <v>1411.13</v>
      </c>
      <c r="F1298">
        <v>3.24</v>
      </c>
      <c r="G1298">
        <v>100</v>
      </c>
    </row>
    <row r="1299" spans="1:7" ht="14" x14ac:dyDescent="0.3">
      <c r="A1299" t="s">
        <v>1324</v>
      </c>
      <c r="B1299" t="s">
        <v>8</v>
      </c>
      <c r="C1299">
        <v>8</v>
      </c>
      <c r="D1299">
        <v>13</v>
      </c>
      <c r="E1299">
        <v>1410.93</v>
      </c>
      <c r="F1299">
        <v>4</v>
      </c>
      <c r="G1299">
        <v>100</v>
      </c>
    </row>
    <row r="1300" spans="1:7" ht="14" x14ac:dyDescent="0.3">
      <c r="A1300" t="s">
        <v>1325</v>
      </c>
      <c r="B1300" t="s">
        <v>8</v>
      </c>
      <c r="C1300">
        <v>6</v>
      </c>
      <c r="D1300">
        <v>6</v>
      </c>
      <c r="E1300">
        <v>1409.75</v>
      </c>
      <c r="F1300">
        <v>4.83</v>
      </c>
      <c r="G1300">
        <v>100</v>
      </c>
    </row>
    <row r="1301" spans="1:7" ht="14" x14ac:dyDescent="0.3">
      <c r="A1301" t="s">
        <v>1326</v>
      </c>
      <c r="B1301" t="s">
        <v>8</v>
      </c>
      <c r="C1301">
        <v>9</v>
      </c>
      <c r="D1301">
        <v>24</v>
      </c>
      <c r="E1301">
        <v>1407.41</v>
      </c>
      <c r="F1301">
        <v>4.17</v>
      </c>
      <c r="G1301">
        <v>100</v>
      </c>
    </row>
    <row r="1302" spans="1:7" ht="14" x14ac:dyDescent="0.3">
      <c r="A1302" t="s">
        <v>1327</v>
      </c>
      <c r="B1302" t="s">
        <v>8</v>
      </c>
      <c r="C1302">
        <v>11</v>
      </c>
      <c r="D1302">
        <v>12</v>
      </c>
      <c r="E1302">
        <v>1407.36</v>
      </c>
      <c r="F1302">
        <v>4.42</v>
      </c>
      <c r="G1302">
        <v>83.3</v>
      </c>
    </row>
    <row r="1303" spans="1:7" ht="14" x14ac:dyDescent="0.3">
      <c r="A1303" t="s">
        <v>1328</v>
      </c>
      <c r="B1303" t="s">
        <v>8</v>
      </c>
      <c r="C1303">
        <v>3</v>
      </c>
      <c r="D1303">
        <v>3</v>
      </c>
      <c r="E1303">
        <v>1405.83</v>
      </c>
      <c r="F1303">
        <v>4.33</v>
      </c>
      <c r="G1303">
        <v>100</v>
      </c>
    </row>
    <row r="1304" spans="1:7" ht="14" x14ac:dyDescent="0.3">
      <c r="A1304" t="s">
        <v>1329</v>
      </c>
      <c r="B1304" t="s">
        <v>8</v>
      </c>
      <c r="C1304">
        <v>14</v>
      </c>
      <c r="D1304">
        <v>16</v>
      </c>
      <c r="E1304">
        <v>1403.38</v>
      </c>
      <c r="F1304">
        <v>4.6900000000000004</v>
      </c>
      <c r="G1304">
        <v>100</v>
      </c>
    </row>
    <row r="1305" spans="1:7" ht="14" x14ac:dyDescent="0.3">
      <c r="A1305" t="s">
        <v>1330</v>
      </c>
      <c r="B1305" t="s">
        <v>32</v>
      </c>
      <c r="C1305">
        <v>16</v>
      </c>
      <c r="D1305">
        <v>18</v>
      </c>
      <c r="E1305">
        <v>1399.69</v>
      </c>
      <c r="F1305">
        <v>4.5599999999999996</v>
      </c>
      <c r="G1305">
        <v>100</v>
      </c>
    </row>
    <row r="1306" spans="1:7" ht="14" x14ac:dyDescent="0.3">
      <c r="A1306" t="s">
        <v>1331</v>
      </c>
      <c r="B1306" t="s">
        <v>8</v>
      </c>
      <c r="C1306">
        <v>7</v>
      </c>
      <c r="D1306">
        <v>7</v>
      </c>
      <c r="E1306">
        <v>1397.14</v>
      </c>
      <c r="F1306">
        <v>3.57</v>
      </c>
      <c r="G1306">
        <v>71.400000000000006</v>
      </c>
    </row>
    <row r="1307" spans="1:7" ht="14" x14ac:dyDescent="0.3">
      <c r="A1307" t="s">
        <v>1332</v>
      </c>
      <c r="B1307" t="s">
        <v>24</v>
      </c>
      <c r="C1307">
        <v>8</v>
      </c>
      <c r="D1307">
        <v>9</v>
      </c>
      <c r="E1307">
        <v>1396.94</v>
      </c>
      <c r="F1307">
        <v>4.78</v>
      </c>
      <c r="G1307">
        <v>100</v>
      </c>
    </row>
    <row r="1308" spans="1:7" ht="14" x14ac:dyDescent="0.3">
      <c r="A1308" s="1" t="s">
        <v>1333</v>
      </c>
      <c r="B1308" t="s">
        <v>8</v>
      </c>
      <c r="C1308">
        <v>11</v>
      </c>
      <c r="D1308">
        <v>11</v>
      </c>
      <c r="E1308">
        <v>1394.95</v>
      </c>
      <c r="F1308">
        <v>4.91</v>
      </c>
      <c r="G1308">
        <v>100</v>
      </c>
    </row>
    <row r="1309" spans="1:7" ht="14" x14ac:dyDescent="0.3">
      <c r="A1309" t="s">
        <v>1334</v>
      </c>
      <c r="B1309" t="s">
        <v>1335</v>
      </c>
      <c r="C1309">
        <v>8</v>
      </c>
      <c r="D1309">
        <v>8</v>
      </c>
      <c r="E1309">
        <v>1393.11</v>
      </c>
      <c r="F1309">
        <v>4.5</v>
      </c>
      <c r="G1309">
        <v>100</v>
      </c>
    </row>
    <row r="1310" spans="1:7" ht="14" x14ac:dyDescent="0.3">
      <c r="A1310" t="s">
        <v>1336</v>
      </c>
      <c r="B1310" t="s">
        <v>8</v>
      </c>
      <c r="C1310">
        <v>8</v>
      </c>
      <c r="D1310">
        <v>8</v>
      </c>
      <c r="E1310">
        <v>1390.96</v>
      </c>
      <c r="F1310">
        <v>2.75</v>
      </c>
      <c r="G1310">
        <v>100</v>
      </c>
    </row>
    <row r="1311" spans="1:7" ht="14" x14ac:dyDescent="0.3">
      <c r="A1311" t="s">
        <v>1337</v>
      </c>
      <c r="B1311" t="s">
        <v>8</v>
      </c>
      <c r="C1311">
        <v>3</v>
      </c>
      <c r="D1311">
        <v>3</v>
      </c>
      <c r="E1311">
        <v>1390.47</v>
      </c>
      <c r="F1311">
        <v>4.67</v>
      </c>
      <c r="G1311">
        <v>100</v>
      </c>
    </row>
    <row r="1312" spans="1:7" ht="14" x14ac:dyDescent="0.3">
      <c r="A1312" t="s">
        <v>1338</v>
      </c>
      <c r="B1312" t="s">
        <v>42</v>
      </c>
      <c r="C1312">
        <v>11</v>
      </c>
      <c r="D1312">
        <v>12</v>
      </c>
      <c r="E1312">
        <v>1385.67</v>
      </c>
      <c r="F1312">
        <v>4.17</v>
      </c>
      <c r="G1312">
        <v>83.3</v>
      </c>
    </row>
    <row r="1313" spans="1:7" ht="14" x14ac:dyDescent="0.3">
      <c r="A1313" t="s">
        <v>1339</v>
      </c>
      <c r="B1313" t="s">
        <v>24</v>
      </c>
      <c r="C1313">
        <v>6</v>
      </c>
      <c r="D1313">
        <v>7</v>
      </c>
      <c r="E1313">
        <v>1382.68</v>
      </c>
      <c r="F1313">
        <v>4.57</v>
      </c>
      <c r="G1313">
        <v>100</v>
      </c>
    </row>
    <row r="1314" spans="1:7" ht="14" x14ac:dyDescent="0.3">
      <c r="A1314" t="s">
        <v>1340</v>
      </c>
      <c r="B1314" t="s">
        <v>8</v>
      </c>
      <c r="C1314">
        <v>12</v>
      </c>
      <c r="D1314">
        <v>18</v>
      </c>
      <c r="E1314">
        <v>1379.47</v>
      </c>
      <c r="F1314">
        <v>4.28</v>
      </c>
      <c r="G1314">
        <v>94.4</v>
      </c>
    </row>
    <row r="1315" spans="1:7" ht="14" x14ac:dyDescent="0.3">
      <c r="A1315" t="s">
        <v>1341</v>
      </c>
      <c r="B1315" t="s">
        <v>8</v>
      </c>
      <c r="C1315">
        <v>4</v>
      </c>
      <c r="D1315">
        <v>4</v>
      </c>
      <c r="E1315">
        <v>1376.94</v>
      </c>
      <c r="F1315">
        <v>3.75</v>
      </c>
      <c r="G1315">
        <v>100</v>
      </c>
    </row>
    <row r="1316" spans="1:7" ht="14" x14ac:dyDescent="0.3">
      <c r="A1316" t="s">
        <v>1342</v>
      </c>
      <c r="B1316" t="s">
        <v>8</v>
      </c>
      <c r="C1316">
        <v>9</v>
      </c>
      <c r="D1316">
        <v>9</v>
      </c>
      <c r="E1316">
        <v>1376.74</v>
      </c>
      <c r="F1316">
        <v>4.78</v>
      </c>
      <c r="G1316">
        <v>100</v>
      </c>
    </row>
    <row r="1317" spans="1:7" ht="14" x14ac:dyDescent="0.3">
      <c r="A1317" t="s">
        <v>1343</v>
      </c>
      <c r="B1317" t="s">
        <v>42</v>
      </c>
      <c r="C1317">
        <v>6</v>
      </c>
      <c r="D1317">
        <v>7</v>
      </c>
      <c r="E1317">
        <v>1372.93</v>
      </c>
      <c r="F1317">
        <v>3.86</v>
      </c>
      <c r="G1317">
        <v>100</v>
      </c>
    </row>
    <row r="1318" spans="1:7" ht="14" x14ac:dyDescent="0.3">
      <c r="A1318" t="s">
        <v>1344</v>
      </c>
      <c r="B1318" t="s">
        <v>8</v>
      </c>
      <c r="C1318">
        <v>1</v>
      </c>
      <c r="D1318">
        <v>1</v>
      </c>
      <c r="E1318">
        <v>1370.41</v>
      </c>
      <c r="F1318">
        <v>5</v>
      </c>
      <c r="G1318">
        <v>100</v>
      </c>
    </row>
    <row r="1319" spans="1:7" ht="14" x14ac:dyDescent="0.3">
      <c r="A1319" t="s">
        <v>1345</v>
      </c>
      <c r="B1319" t="s">
        <v>8</v>
      </c>
      <c r="C1319">
        <v>22</v>
      </c>
      <c r="D1319">
        <v>29</v>
      </c>
      <c r="E1319">
        <v>1370.22</v>
      </c>
      <c r="F1319">
        <v>4.3600000000000003</v>
      </c>
      <c r="G1319">
        <v>96.6</v>
      </c>
    </row>
    <row r="1320" spans="1:7" ht="14" x14ac:dyDescent="0.3">
      <c r="A1320" t="s">
        <v>1346</v>
      </c>
      <c r="B1320" t="s">
        <v>8</v>
      </c>
      <c r="C1320">
        <v>11</v>
      </c>
      <c r="D1320">
        <v>12</v>
      </c>
      <c r="E1320">
        <v>1361.92</v>
      </c>
      <c r="F1320">
        <v>4.92</v>
      </c>
      <c r="G1320">
        <v>100</v>
      </c>
    </row>
    <row r="1321" spans="1:7" ht="14" x14ac:dyDescent="0.3">
      <c r="A1321" t="s">
        <v>1347</v>
      </c>
      <c r="B1321" t="s">
        <v>32</v>
      </c>
      <c r="C1321">
        <v>8</v>
      </c>
      <c r="D1321">
        <v>20</v>
      </c>
      <c r="E1321">
        <v>1358.32</v>
      </c>
      <c r="F1321">
        <v>4.05</v>
      </c>
      <c r="G1321">
        <v>90</v>
      </c>
    </row>
    <row r="1322" spans="1:7" ht="14" x14ac:dyDescent="0.3">
      <c r="A1322" t="s">
        <v>1348</v>
      </c>
      <c r="B1322" t="s">
        <v>32</v>
      </c>
      <c r="C1322">
        <v>10</v>
      </c>
      <c r="D1322">
        <v>10</v>
      </c>
      <c r="E1322">
        <v>1357.09</v>
      </c>
      <c r="F1322">
        <v>4.8</v>
      </c>
      <c r="G1322">
        <v>100</v>
      </c>
    </row>
    <row r="1323" spans="1:7" ht="14" x14ac:dyDescent="0.3">
      <c r="A1323" t="s">
        <v>1349</v>
      </c>
      <c r="B1323" t="s">
        <v>8</v>
      </c>
      <c r="C1323">
        <v>5</v>
      </c>
      <c r="D1323">
        <v>5</v>
      </c>
      <c r="E1323">
        <v>1350.67</v>
      </c>
      <c r="F1323">
        <v>3.2</v>
      </c>
      <c r="G1323">
        <v>60</v>
      </c>
    </row>
    <row r="1324" spans="1:7" ht="14" x14ac:dyDescent="0.3">
      <c r="A1324" t="s">
        <v>1350</v>
      </c>
      <c r="B1324" t="s">
        <v>8</v>
      </c>
      <c r="C1324">
        <v>4</v>
      </c>
      <c r="D1324">
        <v>5</v>
      </c>
      <c r="E1324">
        <v>1350.14</v>
      </c>
      <c r="F1324">
        <v>3</v>
      </c>
      <c r="G1324">
        <v>60</v>
      </c>
    </row>
    <row r="1325" spans="1:7" ht="14" x14ac:dyDescent="0.3">
      <c r="A1325" t="s">
        <v>1351</v>
      </c>
      <c r="B1325" t="s">
        <v>24</v>
      </c>
      <c r="C1325">
        <v>11</v>
      </c>
      <c r="D1325">
        <v>11</v>
      </c>
      <c r="E1325">
        <v>1348.53</v>
      </c>
      <c r="F1325">
        <v>4.18</v>
      </c>
      <c r="G1325">
        <v>100</v>
      </c>
    </row>
    <row r="1326" spans="1:7" ht="14" x14ac:dyDescent="0.3">
      <c r="A1326" t="s">
        <v>1352</v>
      </c>
      <c r="B1326" t="s">
        <v>8</v>
      </c>
      <c r="C1326">
        <v>19</v>
      </c>
      <c r="D1326">
        <v>24</v>
      </c>
      <c r="E1326">
        <v>1347.27</v>
      </c>
      <c r="F1326">
        <v>4.17</v>
      </c>
      <c r="G1326">
        <v>95.8</v>
      </c>
    </row>
    <row r="1327" spans="1:7" ht="14" x14ac:dyDescent="0.3">
      <c r="A1327" t="s">
        <v>1353</v>
      </c>
      <c r="B1327" t="s">
        <v>8</v>
      </c>
      <c r="C1327">
        <v>15</v>
      </c>
      <c r="D1327">
        <v>17</v>
      </c>
      <c r="E1327">
        <v>1344.62</v>
      </c>
      <c r="F1327">
        <v>4.47</v>
      </c>
      <c r="G1327">
        <v>76.5</v>
      </c>
    </row>
    <row r="1328" spans="1:7" ht="14" x14ac:dyDescent="0.3">
      <c r="A1328" t="s">
        <v>1354</v>
      </c>
      <c r="B1328" t="s">
        <v>8</v>
      </c>
      <c r="C1328">
        <v>6</v>
      </c>
      <c r="D1328">
        <v>6</v>
      </c>
      <c r="E1328">
        <v>1343.65</v>
      </c>
      <c r="F1328">
        <v>4.83</v>
      </c>
      <c r="G1328">
        <v>100</v>
      </c>
    </row>
    <row r="1329" spans="1:7" ht="14" x14ac:dyDescent="0.3">
      <c r="A1329" t="s">
        <v>1355</v>
      </c>
      <c r="B1329" t="s">
        <v>8</v>
      </c>
      <c r="C1329">
        <v>10</v>
      </c>
      <c r="D1329">
        <v>10</v>
      </c>
      <c r="E1329">
        <v>1340.14</v>
      </c>
      <c r="F1329">
        <v>4.9000000000000004</v>
      </c>
      <c r="G1329">
        <v>90</v>
      </c>
    </row>
    <row r="1330" spans="1:7" ht="14" x14ac:dyDescent="0.3">
      <c r="A1330" t="s">
        <v>1356</v>
      </c>
      <c r="B1330" t="s">
        <v>24</v>
      </c>
      <c r="C1330">
        <v>3</v>
      </c>
      <c r="D1330">
        <v>3</v>
      </c>
      <c r="E1330">
        <v>1338.41</v>
      </c>
      <c r="F1330">
        <v>4</v>
      </c>
      <c r="G1330">
        <v>66.7</v>
      </c>
    </row>
    <row r="1331" spans="1:7" ht="14" x14ac:dyDescent="0.3">
      <c r="A1331" t="s">
        <v>1357</v>
      </c>
      <c r="B1331" t="s">
        <v>32</v>
      </c>
      <c r="C1331">
        <v>6</v>
      </c>
      <c r="D1331">
        <v>7</v>
      </c>
      <c r="E1331">
        <v>1334.18</v>
      </c>
      <c r="F1331">
        <v>3.57</v>
      </c>
      <c r="G1331">
        <v>85.7</v>
      </c>
    </row>
    <row r="1332" spans="1:7" ht="14" x14ac:dyDescent="0.3">
      <c r="A1332" t="s">
        <v>1358</v>
      </c>
      <c r="B1332" t="s">
        <v>32</v>
      </c>
      <c r="C1332">
        <v>12</v>
      </c>
      <c r="D1332">
        <v>16</v>
      </c>
      <c r="E1332">
        <v>1333.32</v>
      </c>
      <c r="F1332">
        <v>2.5</v>
      </c>
      <c r="G1332">
        <v>75</v>
      </c>
    </row>
    <row r="1333" spans="1:7" ht="14" x14ac:dyDescent="0.3">
      <c r="A1333" t="s">
        <v>1359</v>
      </c>
      <c r="B1333" t="s">
        <v>8</v>
      </c>
      <c r="C1333">
        <v>13</v>
      </c>
      <c r="D1333">
        <v>16</v>
      </c>
      <c r="E1333">
        <v>1331.87</v>
      </c>
      <c r="F1333">
        <v>3.75</v>
      </c>
      <c r="G1333">
        <v>93.8</v>
      </c>
    </row>
    <row r="1334" spans="1:7" ht="14" x14ac:dyDescent="0.3">
      <c r="A1334" t="s">
        <v>1360</v>
      </c>
      <c r="B1334" t="s">
        <v>42</v>
      </c>
      <c r="C1334">
        <v>2</v>
      </c>
      <c r="D1334">
        <v>2</v>
      </c>
      <c r="E1334">
        <v>1330.88</v>
      </c>
      <c r="F1334">
        <v>2</v>
      </c>
      <c r="G1334">
        <v>100</v>
      </c>
    </row>
    <row r="1335" spans="1:7" ht="14" x14ac:dyDescent="0.3">
      <c r="A1335" t="s">
        <v>1361</v>
      </c>
      <c r="B1335" t="s">
        <v>8</v>
      </c>
      <c r="C1335">
        <v>10</v>
      </c>
      <c r="D1335">
        <v>11</v>
      </c>
      <c r="E1335">
        <v>1329.7</v>
      </c>
      <c r="F1335">
        <v>3.91</v>
      </c>
      <c r="G1335">
        <v>72.7</v>
      </c>
    </row>
    <row r="1336" spans="1:7" ht="14" x14ac:dyDescent="0.3">
      <c r="A1336" t="s">
        <v>1362</v>
      </c>
      <c r="B1336" t="s">
        <v>8</v>
      </c>
      <c r="C1336">
        <v>12</v>
      </c>
      <c r="D1336">
        <v>13</v>
      </c>
      <c r="E1336">
        <v>1329.65</v>
      </c>
      <c r="F1336">
        <v>4.38</v>
      </c>
      <c r="G1336">
        <v>100</v>
      </c>
    </row>
    <row r="1337" spans="1:7" ht="14" x14ac:dyDescent="0.3">
      <c r="A1337" t="s">
        <v>1363</v>
      </c>
      <c r="B1337" t="s">
        <v>22</v>
      </c>
      <c r="C1337">
        <v>2</v>
      </c>
      <c r="D1337">
        <v>2</v>
      </c>
      <c r="E1337">
        <v>1328.5</v>
      </c>
      <c r="F1337">
        <v>5</v>
      </c>
      <c r="G1337">
        <v>100</v>
      </c>
    </row>
    <row r="1338" spans="1:7" ht="14" x14ac:dyDescent="0.3">
      <c r="A1338" t="s">
        <v>1364</v>
      </c>
      <c r="B1338" t="s">
        <v>8</v>
      </c>
      <c r="C1338">
        <v>4</v>
      </c>
      <c r="D1338">
        <v>4</v>
      </c>
      <c r="E1338">
        <v>1326.31</v>
      </c>
      <c r="F1338">
        <v>4</v>
      </c>
      <c r="G1338">
        <v>50</v>
      </c>
    </row>
    <row r="1339" spans="1:7" ht="14" x14ac:dyDescent="0.3">
      <c r="A1339" t="s">
        <v>1365</v>
      </c>
      <c r="B1339" t="s">
        <v>8</v>
      </c>
      <c r="C1339">
        <v>1</v>
      </c>
      <c r="D1339">
        <v>1</v>
      </c>
      <c r="E1339">
        <v>1323.79</v>
      </c>
      <c r="F1339">
        <v>5</v>
      </c>
      <c r="G1339">
        <v>100</v>
      </c>
    </row>
    <row r="1340" spans="1:7" ht="14" x14ac:dyDescent="0.3">
      <c r="A1340" t="s">
        <v>1366</v>
      </c>
      <c r="B1340" t="s">
        <v>8</v>
      </c>
      <c r="C1340">
        <v>13</v>
      </c>
      <c r="D1340">
        <v>26</v>
      </c>
      <c r="E1340">
        <v>1323.48</v>
      </c>
      <c r="F1340">
        <v>3.65</v>
      </c>
      <c r="G1340">
        <v>92.3</v>
      </c>
    </row>
    <row r="1341" spans="1:7" ht="14" x14ac:dyDescent="0.3">
      <c r="A1341" t="s">
        <v>1367</v>
      </c>
      <c r="B1341" t="s">
        <v>8</v>
      </c>
      <c r="C1341">
        <v>2</v>
      </c>
      <c r="D1341">
        <v>2</v>
      </c>
      <c r="E1341">
        <v>1320.95</v>
      </c>
      <c r="F1341">
        <v>4.5</v>
      </c>
      <c r="G1341">
        <v>100</v>
      </c>
    </row>
    <row r="1342" spans="1:7" ht="14" x14ac:dyDescent="0.3">
      <c r="A1342" t="s">
        <v>1368</v>
      </c>
      <c r="B1342" t="s">
        <v>8</v>
      </c>
      <c r="C1342">
        <v>13</v>
      </c>
      <c r="D1342">
        <v>14</v>
      </c>
      <c r="E1342">
        <v>1320.07</v>
      </c>
      <c r="F1342">
        <v>4.5</v>
      </c>
      <c r="G1342">
        <v>85.7</v>
      </c>
    </row>
    <row r="1343" spans="1:7" ht="14" x14ac:dyDescent="0.3">
      <c r="A1343" t="s">
        <v>1369</v>
      </c>
      <c r="B1343" t="s">
        <v>22</v>
      </c>
      <c r="C1343">
        <v>11</v>
      </c>
      <c r="D1343">
        <v>12</v>
      </c>
      <c r="E1343">
        <v>1318.71</v>
      </c>
      <c r="F1343">
        <v>4.33</v>
      </c>
      <c r="G1343">
        <v>100</v>
      </c>
    </row>
    <row r="1344" spans="1:7" ht="14" x14ac:dyDescent="0.3">
      <c r="A1344" t="s">
        <v>1370</v>
      </c>
      <c r="B1344" t="s">
        <v>8</v>
      </c>
      <c r="C1344">
        <v>15</v>
      </c>
      <c r="D1344">
        <v>15</v>
      </c>
      <c r="E1344">
        <v>1311.08</v>
      </c>
      <c r="F1344">
        <v>4.2699999999999996</v>
      </c>
      <c r="G1344">
        <v>93.3</v>
      </c>
    </row>
    <row r="1345" spans="1:7" ht="14" x14ac:dyDescent="0.3">
      <c r="A1345" t="s">
        <v>1371</v>
      </c>
      <c r="B1345" t="s">
        <v>8</v>
      </c>
      <c r="C1345">
        <v>8</v>
      </c>
      <c r="D1345">
        <v>8</v>
      </c>
      <c r="E1345">
        <v>1309.8699999999999</v>
      </c>
      <c r="F1345">
        <v>2.75</v>
      </c>
      <c r="G1345">
        <v>75</v>
      </c>
    </row>
    <row r="1346" spans="1:7" ht="14" x14ac:dyDescent="0.3">
      <c r="A1346" t="s">
        <v>1372</v>
      </c>
      <c r="B1346" t="s">
        <v>24</v>
      </c>
      <c r="C1346">
        <v>9</v>
      </c>
      <c r="D1346">
        <v>19</v>
      </c>
      <c r="E1346">
        <v>1309.03</v>
      </c>
      <c r="F1346">
        <v>2.4700000000000002</v>
      </c>
      <c r="G1346">
        <v>63.2</v>
      </c>
    </row>
    <row r="1347" spans="1:7" ht="14" x14ac:dyDescent="0.3">
      <c r="A1347" t="s">
        <v>1373</v>
      </c>
      <c r="B1347" t="s">
        <v>8</v>
      </c>
      <c r="C1347">
        <v>9</v>
      </c>
      <c r="D1347">
        <v>23</v>
      </c>
      <c r="E1347">
        <v>1308.4000000000001</v>
      </c>
      <c r="F1347">
        <v>3.96</v>
      </c>
      <c r="G1347">
        <v>91.3</v>
      </c>
    </row>
    <row r="1348" spans="1:7" ht="14" x14ac:dyDescent="0.3">
      <c r="A1348" t="s">
        <v>1374</v>
      </c>
      <c r="B1348" t="s">
        <v>32</v>
      </c>
      <c r="C1348">
        <v>9</v>
      </c>
      <c r="D1348">
        <v>10</v>
      </c>
      <c r="E1348">
        <v>1308.04</v>
      </c>
      <c r="F1348">
        <v>4.2</v>
      </c>
      <c r="G1348">
        <v>80</v>
      </c>
    </row>
    <row r="1349" spans="1:7" ht="14" x14ac:dyDescent="0.3">
      <c r="A1349" t="s">
        <v>1375</v>
      </c>
      <c r="B1349" t="s">
        <v>8</v>
      </c>
      <c r="C1349">
        <v>21</v>
      </c>
      <c r="D1349">
        <v>22</v>
      </c>
      <c r="E1349">
        <v>1301.8599999999999</v>
      </c>
      <c r="F1349">
        <v>3.55</v>
      </c>
      <c r="G1349">
        <v>90.9</v>
      </c>
    </row>
    <row r="1350" spans="1:7" ht="14" x14ac:dyDescent="0.3">
      <c r="A1350" t="s">
        <v>1376</v>
      </c>
      <c r="B1350" t="s">
        <v>8</v>
      </c>
      <c r="C1350">
        <v>4</v>
      </c>
      <c r="D1350">
        <v>4</v>
      </c>
      <c r="E1350">
        <v>1298.24</v>
      </c>
      <c r="F1350">
        <v>4.75</v>
      </c>
      <c r="G1350">
        <v>100</v>
      </c>
    </row>
    <row r="1351" spans="1:7" ht="14" x14ac:dyDescent="0.3">
      <c r="A1351" t="s">
        <v>1377</v>
      </c>
      <c r="B1351" t="s">
        <v>8</v>
      </c>
      <c r="C1351">
        <v>29</v>
      </c>
      <c r="D1351">
        <v>32</v>
      </c>
      <c r="E1351">
        <v>1297.9000000000001</v>
      </c>
      <c r="F1351">
        <v>3.75</v>
      </c>
      <c r="G1351">
        <v>96.9</v>
      </c>
    </row>
    <row r="1352" spans="1:7" ht="14" x14ac:dyDescent="0.3">
      <c r="A1352" t="s">
        <v>1378</v>
      </c>
      <c r="B1352" t="s">
        <v>12</v>
      </c>
      <c r="C1352">
        <v>3</v>
      </c>
      <c r="D1352">
        <v>3</v>
      </c>
      <c r="E1352">
        <v>1296.77</v>
      </c>
      <c r="F1352">
        <v>4</v>
      </c>
      <c r="G1352">
        <v>66.7</v>
      </c>
    </row>
    <row r="1353" spans="1:7" ht="14" x14ac:dyDescent="0.3">
      <c r="A1353" t="s">
        <v>1379</v>
      </c>
      <c r="B1353" t="s">
        <v>42</v>
      </c>
      <c r="C1353">
        <v>16</v>
      </c>
      <c r="D1353">
        <v>17</v>
      </c>
      <c r="E1353">
        <v>1296.18</v>
      </c>
      <c r="F1353">
        <v>4.3499999999999996</v>
      </c>
      <c r="G1353">
        <v>88.2</v>
      </c>
    </row>
    <row r="1354" spans="1:7" ht="14" x14ac:dyDescent="0.3">
      <c r="A1354" t="s">
        <v>1380</v>
      </c>
      <c r="B1354" t="s">
        <v>8</v>
      </c>
      <c r="C1354">
        <v>21</v>
      </c>
      <c r="D1354">
        <v>23</v>
      </c>
      <c r="E1354">
        <v>1292.8900000000001</v>
      </c>
      <c r="F1354">
        <v>4.57</v>
      </c>
      <c r="G1354">
        <v>95.7</v>
      </c>
    </row>
    <row r="1355" spans="1:7" ht="14" x14ac:dyDescent="0.3">
      <c r="A1355" t="s">
        <v>1381</v>
      </c>
      <c r="B1355" t="s">
        <v>8</v>
      </c>
      <c r="C1355">
        <v>8</v>
      </c>
      <c r="D1355">
        <v>8</v>
      </c>
      <c r="E1355">
        <v>1292.8599999999999</v>
      </c>
      <c r="F1355">
        <v>4.25</v>
      </c>
      <c r="G1355">
        <v>100</v>
      </c>
    </row>
    <row r="1356" spans="1:7" ht="14" x14ac:dyDescent="0.3">
      <c r="A1356" t="s">
        <v>1382</v>
      </c>
      <c r="B1356" t="s">
        <v>8</v>
      </c>
      <c r="C1356">
        <v>11</v>
      </c>
      <c r="D1356">
        <v>12</v>
      </c>
      <c r="E1356">
        <v>1289.53</v>
      </c>
      <c r="F1356">
        <v>4.25</v>
      </c>
      <c r="G1356">
        <v>91.7</v>
      </c>
    </row>
    <row r="1357" spans="1:7" ht="14" x14ac:dyDescent="0.3">
      <c r="A1357" t="s">
        <v>1383</v>
      </c>
      <c r="B1357" t="s">
        <v>24</v>
      </c>
      <c r="C1357">
        <v>3</v>
      </c>
      <c r="D1357">
        <v>3</v>
      </c>
      <c r="E1357">
        <v>1288.5899999999999</v>
      </c>
      <c r="F1357">
        <v>4</v>
      </c>
      <c r="G1357">
        <v>100</v>
      </c>
    </row>
    <row r="1358" spans="1:7" ht="14" x14ac:dyDescent="0.3">
      <c r="A1358" t="s">
        <v>1384</v>
      </c>
      <c r="B1358" t="s">
        <v>32</v>
      </c>
      <c r="C1358">
        <v>17</v>
      </c>
      <c r="D1358">
        <v>20</v>
      </c>
      <c r="E1358">
        <v>1288.57</v>
      </c>
      <c r="F1358">
        <v>4.3499999999999996</v>
      </c>
      <c r="G1358">
        <v>95</v>
      </c>
    </row>
    <row r="1359" spans="1:7" ht="14" x14ac:dyDescent="0.3">
      <c r="A1359" t="s">
        <v>1385</v>
      </c>
      <c r="B1359" t="s">
        <v>87</v>
      </c>
      <c r="C1359">
        <v>8</v>
      </c>
      <c r="D1359">
        <v>8</v>
      </c>
      <c r="E1359">
        <v>1287.3599999999999</v>
      </c>
      <c r="F1359">
        <v>4.38</v>
      </c>
      <c r="G1359">
        <v>87.5</v>
      </c>
    </row>
    <row r="1360" spans="1:7" ht="14" x14ac:dyDescent="0.3">
      <c r="A1360" t="s">
        <v>1386</v>
      </c>
      <c r="B1360" t="s">
        <v>8</v>
      </c>
      <c r="C1360">
        <v>7</v>
      </c>
      <c r="D1360">
        <v>8</v>
      </c>
      <c r="E1360">
        <v>1284.3399999999999</v>
      </c>
      <c r="F1360">
        <v>4</v>
      </c>
      <c r="G1360">
        <v>100</v>
      </c>
    </row>
    <row r="1361" spans="1:7" ht="14" x14ac:dyDescent="0.3">
      <c r="A1361" t="s">
        <v>1387</v>
      </c>
      <c r="B1361" t="s">
        <v>8</v>
      </c>
      <c r="C1361">
        <v>2</v>
      </c>
      <c r="D1361">
        <v>2</v>
      </c>
      <c r="E1361">
        <v>1281.23</v>
      </c>
      <c r="F1361">
        <v>5</v>
      </c>
      <c r="G1361">
        <v>100</v>
      </c>
    </row>
    <row r="1362" spans="1:7" ht="14" x14ac:dyDescent="0.3">
      <c r="A1362" t="s">
        <v>1388</v>
      </c>
      <c r="B1362" t="s">
        <v>8</v>
      </c>
      <c r="C1362">
        <v>14</v>
      </c>
      <c r="D1362">
        <v>23</v>
      </c>
      <c r="E1362">
        <v>1278.75</v>
      </c>
      <c r="F1362">
        <v>4.3899999999999997</v>
      </c>
      <c r="G1362">
        <v>95.7</v>
      </c>
    </row>
    <row r="1363" spans="1:7" ht="14" x14ac:dyDescent="0.3">
      <c r="A1363" t="s">
        <v>1389</v>
      </c>
      <c r="B1363" t="s">
        <v>22</v>
      </c>
      <c r="C1363">
        <v>19</v>
      </c>
      <c r="D1363">
        <v>21</v>
      </c>
      <c r="E1363">
        <v>1274.51</v>
      </c>
      <c r="F1363">
        <v>4.05</v>
      </c>
      <c r="G1363">
        <v>90.5</v>
      </c>
    </row>
    <row r="1364" spans="1:7" ht="14" x14ac:dyDescent="0.3">
      <c r="A1364" t="s">
        <v>1390</v>
      </c>
      <c r="B1364" t="s">
        <v>8</v>
      </c>
      <c r="C1364">
        <v>19</v>
      </c>
      <c r="D1364">
        <v>23</v>
      </c>
      <c r="E1364">
        <v>1273.73</v>
      </c>
      <c r="F1364">
        <v>4.3899999999999997</v>
      </c>
      <c r="G1364">
        <v>95.7</v>
      </c>
    </row>
    <row r="1365" spans="1:7" ht="14" x14ac:dyDescent="0.3">
      <c r="A1365" t="s">
        <v>1391</v>
      </c>
      <c r="B1365" t="s">
        <v>8</v>
      </c>
      <c r="C1365">
        <v>7</v>
      </c>
      <c r="D1365">
        <v>7</v>
      </c>
      <c r="E1365">
        <v>1267.48</v>
      </c>
      <c r="F1365">
        <v>4.8600000000000003</v>
      </c>
      <c r="G1365">
        <v>100</v>
      </c>
    </row>
    <row r="1366" spans="1:7" ht="14" x14ac:dyDescent="0.3">
      <c r="A1366" t="s">
        <v>1392</v>
      </c>
      <c r="B1366" t="s">
        <v>22</v>
      </c>
      <c r="C1366">
        <v>2</v>
      </c>
      <c r="D1366">
        <v>2</v>
      </c>
      <c r="E1366">
        <v>1262.72</v>
      </c>
      <c r="F1366">
        <v>4.5</v>
      </c>
      <c r="G1366">
        <v>100</v>
      </c>
    </row>
    <row r="1367" spans="1:7" ht="14" x14ac:dyDescent="0.3">
      <c r="A1367" t="s">
        <v>1393</v>
      </c>
      <c r="B1367" t="s">
        <v>1394</v>
      </c>
      <c r="C1367">
        <v>3</v>
      </c>
      <c r="D1367">
        <v>3</v>
      </c>
      <c r="E1367">
        <v>1258.8</v>
      </c>
      <c r="F1367">
        <v>2.33</v>
      </c>
      <c r="G1367">
        <v>66.7</v>
      </c>
    </row>
    <row r="1368" spans="1:7" ht="14" x14ac:dyDescent="0.3">
      <c r="A1368" t="s">
        <v>1395</v>
      </c>
      <c r="B1368" t="s">
        <v>87</v>
      </c>
      <c r="C1368">
        <v>1</v>
      </c>
      <c r="D1368">
        <v>1</v>
      </c>
      <c r="E1368">
        <v>1255.71</v>
      </c>
      <c r="F1368">
        <v>5</v>
      </c>
      <c r="G1368">
        <v>100</v>
      </c>
    </row>
    <row r="1369" spans="1:7" ht="14" x14ac:dyDescent="0.3">
      <c r="A1369" t="s">
        <v>1396</v>
      </c>
      <c r="B1369" t="s">
        <v>42</v>
      </c>
      <c r="C1369">
        <v>5</v>
      </c>
      <c r="D1369">
        <v>5</v>
      </c>
      <c r="E1369">
        <v>1254.3499999999999</v>
      </c>
      <c r="F1369">
        <v>2</v>
      </c>
      <c r="G1369">
        <v>100</v>
      </c>
    </row>
    <row r="1370" spans="1:7" ht="14" x14ac:dyDescent="0.3">
      <c r="A1370" t="s">
        <v>1397</v>
      </c>
      <c r="B1370" t="s">
        <v>8</v>
      </c>
      <c r="C1370">
        <v>9</v>
      </c>
      <c r="D1370">
        <v>9</v>
      </c>
      <c r="E1370">
        <v>1250.6600000000001</v>
      </c>
      <c r="F1370">
        <v>4.1100000000000003</v>
      </c>
      <c r="G1370">
        <v>88.9</v>
      </c>
    </row>
    <row r="1371" spans="1:7" ht="14" x14ac:dyDescent="0.3">
      <c r="A1371" t="s">
        <v>1398</v>
      </c>
      <c r="B1371" t="s">
        <v>8</v>
      </c>
      <c r="C1371">
        <v>3</v>
      </c>
      <c r="D1371">
        <v>3</v>
      </c>
      <c r="E1371">
        <v>1249.52</v>
      </c>
      <c r="F1371">
        <v>5</v>
      </c>
      <c r="G1371">
        <v>100</v>
      </c>
    </row>
    <row r="1372" spans="1:7" ht="14" x14ac:dyDescent="0.3">
      <c r="A1372" t="s">
        <v>1399</v>
      </c>
      <c r="B1372" t="s">
        <v>8</v>
      </c>
      <c r="C1372">
        <v>2</v>
      </c>
      <c r="D1372">
        <v>2</v>
      </c>
      <c r="E1372">
        <v>1247.81</v>
      </c>
      <c r="F1372">
        <v>5</v>
      </c>
      <c r="G1372">
        <v>100</v>
      </c>
    </row>
    <row r="1373" spans="1:7" ht="14" x14ac:dyDescent="0.3">
      <c r="A1373" t="s">
        <v>1400</v>
      </c>
      <c r="B1373" t="s">
        <v>8</v>
      </c>
      <c r="C1373">
        <v>14</v>
      </c>
      <c r="D1373">
        <v>14</v>
      </c>
      <c r="E1373">
        <v>1246.6600000000001</v>
      </c>
      <c r="F1373">
        <v>4.6399999999999997</v>
      </c>
      <c r="G1373">
        <v>92.9</v>
      </c>
    </row>
    <row r="1374" spans="1:7" ht="14" x14ac:dyDescent="0.3">
      <c r="A1374" t="s">
        <v>1401</v>
      </c>
      <c r="B1374" t="s">
        <v>8</v>
      </c>
      <c r="C1374">
        <v>6</v>
      </c>
      <c r="D1374">
        <v>10</v>
      </c>
      <c r="E1374">
        <v>1246.3399999999999</v>
      </c>
      <c r="F1374">
        <v>4.8</v>
      </c>
      <c r="G1374">
        <v>80</v>
      </c>
    </row>
    <row r="1375" spans="1:7" ht="14" x14ac:dyDescent="0.3">
      <c r="A1375" t="s">
        <v>1402</v>
      </c>
      <c r="B1375" t="s">
        <v>8</v>
      </c>
      <c r="C1375">
        <v>9</v>
      </c>
      <c r="D1375">
        <v>12</v>
      </c>
      <c r="E1375">
        <v>1246.1099999999999</v>
      </c>
      <c r="F1375">
        <v>4.83</v>
      </c>
      <c r="G1375">
        <v>100</v>
      </c>
    </row>
    <row r="1376" spans="1:7" ht="14" x14ac:dyDescent="0.3">
      <c r="A1376" t="s">
        <v>1403</v>
      </c>
      <c r="B1376" t="s">
        <v>32</v>
      </c>
      <c r="C1376">
        <v>10</v>
      </c>
      <c r="D1376">
        <v>11</v>
      </c>
      <c r="E1376">
        <v>1245.58</v>
      </c>
      <c r="F1376">
        <v>4.18</v>
      </c>
      <c r="G1376">
        <v>100</v>
      </c>
    </row>
    <row r="1377" spans="1:7" ht="14" x14ac:dyDescent="0.3">
      <c r="A1377" t="s">
        <v>1404</v>
      </c>
      <c r="B1377" t="s">
        <v>32</v>
      </c>
      <c r="C1377">
        <v>14</v>
      </c>
      <c r="D1377">
        <v>14</v>
      </c>
      <c r="E1377">
        <v>1245.0999999999999</v>
      </c>
      <c r="F1377">
        <v>4.43</v>
      </c>
      <c r="G1377">
        <v>100</v>
      </c>
    </row>
    <row r="1378" spans="1:7" ht="14" x14ac:dyDescent="0.3">
      <c r="A1378" t="s">
        <v>1405</v>
      </c>
      <c r="B1378" t="s">
        <v>8</v>
      </c>
      <c r="C1378">
        <v>15</v>
      </c>
      <c r="D1378">
        <v>15</v>
      </c>
      <c r="E1378">
        <v>1244.6500000000001</v>
      </c>
      <c r="F1378">
        <v>4.67</v>
      </c>
      <c r="G1378">
        <v>100</v>
      </c>
    </row>
    <row r="1379" spans="1:7" ht="14" x14ac:dyDescent="0.3">
      <c r="A1379" t="s">
        <v>1406</v>
      </c>
      <c r="B1379" t="s">
        <v>8</v>
      </c>
      <c r="C1379">
        <v>6</v>
      </c>
      <c r="D1379">
        <v>8</v>
      </c>
      <c r="E1379">
        <v>1240.97</v>
      </c>
      <c r="F1379">
        <v>4.63</v>
      </c>
      <c r="G1379">
        <v>100</v>
      </c>
    </row>
    <row r="1380" spans="1:7" ht="14" x14ac:dyDescent="0.3">
      <c r="A1380" t="s">
        <v>1407</v>
      </c>
      <c r="B1380" t="s">
        <v>8</v>
      </c>
      <c r="C1380">
        <v>2</v>
      </c>
      <c r="D1380">
        <v>2</v>
      </c>
      <c r="E1380">
        <v>1238.9000000000001</v>
      </c>
      <c r="F1380">
        <v>5</v>
      </c>
      <c r="G1380">
        <v>100</v>
      </c>
    </row>
    <row r="1381" spans="1:7" ht="14" x14ac:dyDescent="0.3">
      <c r="A1381" t="s">
        <v>1408</v>
      </c>
      <c r="B1381" t="s">
        <v>101</v>
      </c>
      <c r="C1381">
        <v>15</v>
      </c>
      <c r="D1381">
        <v>21</v>
      </c>
      <c r="E1381">
        <v>1237.06</v>
      </c>
      <c r="F1381">
        <v>4.71</v>
      </c>
      <c r="G1381">
        <v>100</v>
      </c>
    </row>
    <row r="1382" spans="1:7" ht="14" x14ac:dyDescent="0.3">
      <c r="A1382" t="s">
        <v>1409</v>
      </c>
      <c r="B1382" t="s">
        <v>22</v>
      </c>
      <c r="C1382">
        <v>16</v>
      </c>
      <c r="D1382">
        <v>22</v>
      </c>
      <c r="E1382">
        <v>1235.18</v>
      </c>
      <c r="F1382">
        <v>3.64</v>
      </c>
      <c r="G1382">
        <v>100</v>
      </c>
    </row>
    <row r="1383" spans="1:7" ht="14" x14ac:dyDescent="0.3">
      <c r="A1383" s="1" t="s">
        <v>1410</v>
      </c>
      <c r="B1383" t="s">
        <v>8</v>
      </c>
      <c r="C1383">
        <v>17</v>
      </c>
      <c r="D1383">
        <v>24</v>
      </c>
      <c r="E1383">
        <v>1234.7</v>
      </c>
      <c r="F1383">
        <v>4</v>
      </c>
      <c r="G1383">
        <v>91.7</v>
      </c>
    </row>
    <row r="1384" spans="1:7" ht="14" x14ac:dyDescent="0.3">
      <c r="A1384" t="s">
        <v>1411</v>
      </c>
      <c r="B1384" t="s">
        <v>32</v>
      </c>
      <c r="C1384">
        <v>4</v>
      </c>
      <c r="D1384">
        <v>9</v>
      </c>
      <c r="E1384">
        <v>1229.4000000000001</v>
      </c>
      <c r="F1384">
        <v>5</v>
      </c>
      <c r="G1384">
        <v>100</v>
      </c>
    </row>
    <row r="1385" spans="1:7" ht="14" x14ac:dyDescent="0.3">
      <c r="A1385" t="s">
        <v>1412</v>
      </c>
      <c r="B1385" t="s">
        <v>1413</v>
      </c>
      <c r="C1385">
        <v>4</v>
      </c>
      <c r="D1385">
        <v>5</v>
      </c>
      <c r="E1385">
        <v>1229.0999999999999</v>
      </c>
      <c r="F1385">
        <v>4.5999999999999996</v>
      </c>
      <c r="G1385">
        <v>100</v>
      </c>
    </row>
    <row r="1386" spans="1:7" ht="14" x14ac:dyDescent="0.3">
      <c r="A1386" t="s">
        <v>1414</v>
      </c>
      <c r="B1386" t="s">
        <v>8</v>
      </c>
      <c r="C1386">
        <v>26</v>
      </c>
      <c r="D1386">
        <v>30</v>
      </c>
      <c r="E1386">
        <v>1228.6199999999999</v>
      </c>
      <c r="F1386">
        <v>3.93</v>
      </c>
      <c r="G1386">
        <v>93.3</v>
      </c>
    </row>
    <row r="1387" spans="1:7" ht="14" x14ac:dyDescent="0.3">
      <c r="A1387" t="s">
        <v>1415</v>
      </c>
      <c r="B1387" t="s">
        <v>22</v>
      </c>
      <c r="C1387">
        <v>4</v>
      </c>
      <c r="D1387">
        <v>5</v>
      </c>
      <c r="E1387">
        <v>1228.18</v>
      </c>
      <c r="F1387">
        <v>3.2</v>
      </c>
      <c r="G1387">
        <v>80</v>
      </c>
    </row>
    <row r="1388" spans="1:7" ht="14" x14ac:dyDescent="0.3">
      <c r="A1388" t="s">
        <v>1416</v>
      </c>
      <c r="B1388" t="s">
        <v>8</v>
      </c>
      <c r="C1388">
        <v>2</v>
      </c>
      <c r="D1388">
        <v>2</v>
      </c>
      <c r="E1388">
        <v>1226.55</v>
      </c>
      <c r="F1388">
        <v>5</v>
      </c>
      <c r="G1388">
        <v>100</v>
      </c>
    </row>
    <row r="1389" spans="1:7" ht="14" x14ac:dyDescent="0.3">
      <c r="A1389" t="s">
        <v>1417</v>
      </c>
      <c r="B1389" t="s">
        <v>22</v>
      </c>
      <c r="C1389">
        <v>10</v>
      </c>
      <c r="D1389">
        <v>15</v>
      </c>
      <c r="E1389">
        <v>1225.06</v>
      </c>
      <c r="F1389">
        <v>3.13</v>
      </c>
      <c r="G1389">
        <v>100</v>
      </c>
    </row>
    <row r="1390" spans="1:7" ht="14" x14ac:dyDescent="0.3">
      <c r="A1390" t="s">
        <v>1418</v>
      </c>
      <c r="B1390" t="s">
        <v>8</v>
      </c>
      <c r="C1390">
        <v>11</v>
      </c>
      <c r="D1390">
        <v>21</v>
      </c>
      <c r="E1390">
        <v>1223.19</v>
      </c>
      <c r="F1390">
        <v>3.67</v>
      </c>
      <c r="G1390">
        <v>81</v>
      </c>
    </row>
    <row r="1391" spans="1:7" ht="14" x14ac:dyDescent="0.3">
      <c r="A1391" t="s">
        <v>1419</v>
      </c>
      <c r="B1391" t="s">
        <v>8</v>
      </c>
      <c r="C1391">
        <v>13</v>
      </c>
      <c r="D1391">
        <v>13</v>
      </c>
      <c r="E1391">
        <v>1222.9000000000001</v>
      </c>
      <c r="F1391">
        <v>4.08</v>
      </c>
      <c r="G1391">
        <v>100</v>
      </c>
    </row>
    <row r="1392" spans="1:7" ht="14" x14ac:dyDescent="0.3">
      <c r="A1392" t="s">
        <v>1420</v>
      </c>
      <c r="B1392" t="s">
        <v>8</v>
      </c>
      <c r="C1392">
        <v>22</v>
      </c>
      <c r="D1392">
        <v>42</v>
      </c>
      <c r="E1392">
        <v>1222.73</v>
      </c>
      <c r="F1392">
        <v>4.24</v>
      </c>
      <c r="G1392">
        <v>97.6</v>
      </c>
    </row>
    <row r="1393" spans="1:7" ht="14" x14ac:dyDescent="0.3">
      <c r="A1393" t="s">
        <v>1421</v>
      </c>
      <c r="B1393" t="s">
        <v>8</v>
      </c>
      <c r="C1393">
        <v>6</v>
      </c>
      <c r="D1393">
        <v>9</v>
      </c>
      <c r="E1393">
        <v>1221.69</v>
      </c>
      <c r="F1393">
        <v>4.67</v>
      </c>
      <c r="G1393">
        <v>100</v>
      </c>
    </row>
    <row r="1394" spans="1:7" ht="14" x14ac:dyDescent="0.3">
      <c r="A1394" t="s">
        <v>1422</v>
      </c>
      <c r="B1394" t="s">
        <v>8</v>
      </c>
      <c r="C1394">
        <v>7</v>
      </c>
      <c r="D1394">
        <v>7</v>
      </c>
      <c r="E1394">
        <v>1217.8499999999999</v>
      </c>
      <c r="F1394">
        <v>3.43</v>
      </c>
      <c r="G1394">
        <v>100</v>
      </c>
    </row>
    <row r="1395" spans="1:7" ht="14" x14ac:dyDescent="0.3">
      <c r="A1395" t="s">
        <v>1423</v>
      </c>
      <c r="B1395" t="s">
        <v>42</v>
      </c>
      <c r="C1395">
        <v>6</v>
      </c>
      <c r="D1395">
        <v>7</v>
      </c>
      <c r="E1395">
        <v>1216.24</v>
      </c>
      <c r="F1395">
        <v>3.71</v>
      </c>
      <c r="G1395">
        <v>100</v>
      </c>
    </row>
    <row r="1396" spans="1:7" ht="14" x14ac:dyDescent="0.3">
      <c r="A1396" t="s">
        <v>1424</v>
      </c>
      <c r="B1396" t="s">
        <v>8</v>
      </c>
      <c r="C1396">
        <v>6</v>
      </c>
      <c r="D1396">
        <v>6</v>
      </c>
      <c r="E1396">
        <v>1215.96</v>
      </c>
      <c r="F1396">
        <v>4.5</v>
      </c>
      <c r="G1396">
        <v>83.3</v>
      </c>
    </row>
    <row r="1397" spans="1:7" ht="14" x14ac:dyDescent="0.3">
      <c r="A1397" t="s">
        <v>1425</v>
      </c>
      <c r="B1397" t="s">
        <v>8</v>
      </c>
      <c r="C1397">
        <v>16</v>
      </c>
      <c r="D1397">
        <v>20</v>
      </c>
      <c r="E1397">
        <v>1215.1600000000001</v>
      </c>
      <c r="F1397">
        <v>4.45</v>
      </c>
      <c r="G1397">
        <v>90</v>
      </c>
    </row>
    <row r="1398" spans="1:7" ht="14" x14ac:dyDescent="0.3">
      <c r="A1398" t="s">
        <v>1426</v>
      </c>
      <c r="B1398" t="s">
        <v>8</v>
      </c>
      <c r="C1398">
        <v>9</v>
      </c>
      <c r="D1398">
        <v>11</v>
      </c>
      <c r="E1398">
        <v>1213.1500000000001</v>
      </c>
      <c r="F1398">
        <v>5</v>
      </c>
      <c r="G1398">
        <v>100</v>
      </c>
    </row>
    <row r="1399" spans="1:7" ht="14" x14ac:dyDescent="0.3">
      <c r="A1399" t="s">
        <v>1427</v>
      </c>
      <c r="B1399" t="s">
        <v>32</v>
      </c>
      <c r="C1399">
        <v>4</v>
      </c>
      <c r="D1399">
        <v>4</v>
      </c>
      <c r="E1399">
        <v>1213.03</v>
      </c>
      <c r="F1399">
        <v>4.75</v>
      </c>
      <c r="G1399">
        <v>100</v>
      </c>
    </row>
    <row r="1400" spans="1:7" ht="14" x14ac:dyDescent="0.3">
      <c r="A1400" s="1" t="s">
        <v>1428</v>
      </c>
      <c r="B1400" t="s">
        <v>8</v>
      </c>
      <c r="C1400">
        <v>31</v>
      </c>
      <c r="D1400">
        <v>34</v>
      </c>
      <c r="E1400">
        <v>1205.77</v>
      </c>
      <c r="F1400">
        <v>4.68</v>
      </c>
      <c r="G1400">
        <v>97.1</v>
      </c>
    </row>
    <row r="1401" spans="1:7" ht="14" x14ac:dyDescent="0.3">
      <c r="A1401" t="s">
        <v>1429</v>
      </c>
      <c r="B1401" t="s">
        <v>8</v>
      </c>
      <c r="C1401">
        <v>8</v>
      </c>
      <c r="D1401">
        <v>20</v>
      </c>
      <c r="E1401">
        <v>1204.9100000000001</v>
      </c>
      <c r="F1401">
        <v>2.8</v>
      </c>
      <c r="G1401">
        <v>100</v>
      </c>
    </row>
    <row r="1402" spans="1:7" ht="14" x14ac:dyDescent="0.3">
      <c r="A1402" t="s">
        <v>1430</v>
      </c>
      <c r="B1402" t="s">
        <v>309</v>
      </c>
      <c r="C1402">
        <v>10</v>
      </c>
      <c r="D1402">
        <v>11</v>
      </c>
      <c r="E1402">
        <v>1203.97</v>
      </c>
      <c r="F1402">
        <v>4</v>
      </c>
      <c r="G1402">
        <v>100</v>
      </c>
    </row>
    <row r="1403" spans="1:7" ht="14" x14ac:dyDescent="0.3">
      <c r="A1403" t="s">
        <v>1431</v>
      </c>
      <c r="B1403" t="s">
        <v>8</v>
      </c>
      <c r="C1403">
        <v>9</v>
      </c>
      <c r="D1403">
        <v>9</v>
      </c>
      <c r="E1403">
        <v>1202.19</v>
      </c>
      <c r="F1403">
        <v>4.33</v>
      </c>
      <c r="G1403">
        <v>100</v>
      </c>
    </row>
    <row r="1404" spans="1:7" ht="14" x14ac:dyDescent="0.3">
      <c r="A1404" t="s">
        <v>1432</v>
      </c>
      <c r="B1404" t="s">
        <v>8</v>
      </c>
      <c r="C1404">
        <v>3</v>
      </c>
      <c r="D1404">
        <v>3</v>
      </c>
      <c r="E1404">
        <v>1199.31</v>
      </c>
      <c r="F1404">
        <v>4.33</v>
      </c>
      <c r="G1404">
        <v>100</v>
      </c>
    </row>
    <row r="1405" spans="1:7" ht="14" x14ac:dyDescent="0.3">
      <c r="A1405" s="1" t="s">
        <v>1433</v>
      </c>
      <c r="B1405" t="s">
        <v>8</v>
      </c>
      <c r="C1405">
        <v>23</v>
      </c>
      <c r="D1405">
        <v>26</v>
      </c>
      <c r="E1405">
        <v>1198.78</v>
      </c>
      <c r="F1405">
        <v>4.62</v>
      </c>
      <c r="G1405">
        <v>96.2</v>
      </c>
    </row>
    <row r="1406" spans="1:7" ht="14" x14ac:dyDescent="0.3">
      <c r="A1406" t="s">
        <v>1434</v>
      </c>
      <c r="B1406" t="s">
        <v>32</v>
      </c>
      <c r="C1406">
        <v>7</v>
      </c>
      <c r="D1406">
        <v>7</v>
      </c>
      <c r="E1406">
        <v>1197.94</v>
      </c>
      <c r="F1406">
        <v>5</v>
      </c>
      <c r="G1406">
        <v>100</v>
      </c>
    </row>
    <row r="1407" spans="1:7" ht="14" x14ac:dyDescent="0.3">
      <c r="A1407" t="s">
        <v>1435</v>
      </c>
      <c r="B1407" t="s">
        <v>87</v>
      </c>
      <c r="C1407">
        <v>1</v>
      </c>
      <c r="D1407">
        <v>1</v>
      </c>
      <c r="E1407">
        <v>1196.78</v>
      </c>
      <c r="F1407">
        <v>2</v>
      </c>
      <c r="G1407">
        <v>100</v>
      </c>
    </row>
    <row r="1408" spans="1:7" ht="14" x14ac:dyDescent="0.3">
      <c r="A1408" t="s">
        <v>1436</v>
      </c>
      <c r="B1408" t="s">
        <v>32</v>
      </c>
      <c r="C1408">
        <v>9</v>
      </c>
      <c r="D1408">
        <v>11</v>
      </c>
      <c r="E1408">
        <v>1195.6400000000001</v>
      </c>
      <c r="F1408">
        <v>3.64</v>
      </c>
      <c r="G1408">
        <v>90.9</v>
      </c>
    </row>
    <row r="1409" spans="1:7" ht="14" x14ac:dyDescent="0.3">
      <c r="A1409" s="1" t="s">
        <v>1437</v>
      </c>
      <c r="B1409" t="s">
        <v>8</v>
      </c>
      <c r="C1409">
        <v>4</v>
      </c>
      <c r="D1409">
        <v>5</v>
      </c>
      <c r="E1409">
        <v>1194.3</v>
      </c>
      <c r="F1409">
        <v>4.4000000000000004</v>
      </c>
      <c r="G1409">
        <v>100</v>
      </c>
    </row>
    <row r="1410" spans="1:7" ht="14" x14ac:dyDescent="0.3">
      <c r="A1410" t="s">
        <v>1438</v>
      </c>
      <c r="B1410" t="s">
        <v>8</v>
      </c>
      <c r="C1410">
        <v>28</v>
      </c>
      <c r="D1410">
        <v>28</v>
      </c>
      <c r="E1410">
        <v>1189.25</v>
      </c>
      <c r="F1410">
        <v>4.43</v>
      </c>
      <c r="G1410">
        <v>100</v>
      </c>
    </row>
    <row r="1411" spans="1:7" ht="14" x14ac:dyDescent="0.3">
      <c r="A1411" t="s">
        <v>1439</v>
      </c>
      <c r="B1411" t="s">
        <v>8</v>
      </c>
      <c r="C1411">
        <v>28</v>
      </c>
      <c r="D1411">
        <v>28</v>
      </c>
      <c r="E1411">
        <v>1185.42</v>
      </c>
      <c r="F1411">
        <v>4</v>
      </c>
      <c r="G1411">
        <v>85.7</v>
      </c>
    </row>
    <row r="1412" spans="1:7" ht="14" x14ac:dyDescent="0.3">
      <c r="A1412" t="s">
        <v>1440</v>
      </c>
      <c r="B1412" t="s">
        <v>8</v>
      </c>
      <c r="C1412">
        <v>8</v>
      </c>
      <c r="D1412">
        <v>8</v>
      </c>
      <c r="E1412">
        <v>1181.6300000000001</v>
      </c>
      <c r="F1412">
        <v>4.63</v>
      </c>
      <c r="G1412">
        <v>100</v>
      </c>
    </row>
    <row r="1413" spans="1:7" ht="14" x14ac:dyDescent="0.3">
      <c r="A1413" t="s">
        <v>1441</v>
      </c>
      <c r="B1413" t="s">
        <v>8</v>
      </c>
      <c r="C1413">
        <v>5</v>
      </c>
      <c r="D1413">
        <v>5</v>
      </c>
      <c r="E1413">
        <v>1178.48</v>
      </c>
      <c r="F1413">
        <v>3</v>
      </c>
      <c r="G1413">
        <v>80</v>
      </c>
    </row>
    <row r="1414" spans="1:7" ht="14" x14ac:dyDescent="0.3">
      <c r="A1414" t="s">
        <v>1442</v>
      </c>
      <c r="B1414" t="s">
        <v>8</v>
      </c>
      <c r="C1414">
        <v>7</v>
      </c>
      <c r="D1414">
        <v>8</v>
      </c>
      <c r="E1414">
        <v>1176.23</v>
      </c>
      <c r="F1414">
        <v>3.88</v>
      </c>
      <c r="G1414">
        <v>100</v>
      </c>
    </row>
    <row r="1415" spans="1:7" ht="14" x14ac:dyDescent="0.3">
      <c r="A1415" t="s">
        <v>1443</v>
      </c>
      <c r="B1415" t="s">
        <v>87</v>
      </c>
      <c r="C1415">
        <v>16</v>
      </c>
      <c r="D1415">
        <v>16</v>
      </c>
      <c r="E1415">
        <v>1175.75</v>
      </c>
      <c r="F1415">
        <v>4.63</v>
      </c>
      <c r="G1415">
        <v>100</v>
      </c>
    </row>
    <row r="1416" spans="1:7" ht="14" x14ac:dyDescent="0.3">
      <c r="A1416" t="s">
        <v>1444</v>
      </c>
      <c r="B1416" t="s">
        <v>309</v>
      </c>
      <c r="C1416">
        <v>3</v>
      </c>
      <c r="D1416">
        <v>4</v>
      </c>
      <c r="E1416">
        <v>1174.4100000000001</v>
      </c>
      <c r="F1416">
        <v>4</v>
      </c>
      <c r="G1416">
        <v>100</v>
      </c>
    </row>
    <row r="1417" spans="1:7" ht="14" x14ac:dyDescent="0.3">
      <c r="A1417" t="s">
        <v>1445</v>
      </c>
      <c r="B1417" t="s">
        <v>152</v>
      </c>
      <c r="C1417">
        <v>6</v>
      </c>
      <c r="D1417">
        <v>6</v>
      </c>
      <c r="E1417">
        <v>1173.93</v>
      </c>
      <c r="F1417">
        <v>5</v>
      </c>
      <c r="G1417">
        <v>83.3</v>
      </c>
    </row>
    <row r="1418" spans="1:7" ht="14" x14ac:dyDescent="0.3">
      <c r="A1418" t="s">
        <v>1446</v>
      </c>
      <c r="B1418" t="s">
        <v>777</v>
      </c>
      <c r="C1418">
        <v>5</v>
      </c>
      <c r="D1418">
        <v>5</v>
      </c>
      <c r="E1418">
        <v>1171.96</v>
      </c>
      <c r="F1418">
        <v>4.2</v>
      </c>
      <c r="G1418">
        <v>100</v>
      </c>
    </row>
    <row r="1419" spans="1:7" ht="14" x14ac:dyDescent="0.3">
      <c r="A1419" t="s">
        <v>1447</v>
      </c>
      <c r="B1419" t="s">
        <v>42</v>
      </c>
      <c r="C1419">
        <v>4</v>
      </c>
      <c r="D1419">
        <v>4</v>
      </c>
      <c r="E1419">
        <v>1168.67</v>
      </c>
      <c r="F1419">
        <v>5</v>
      </c>
      <c r="G1419">
        <v>100</v>
      </c>
    </row>
    <row r="1420" spans="1:7" ht="14" x14ac:dyDescent="0.3">
      <c r="A1420" t="s">
        <v>1448</v>
      </c>
      <c r="B1420" t="s">
        <v>22</v>
      </c>
      <c r="C1420">
        <v>7</v>
      </c>
      <c r="D1420">
        <v>7</v>
      </c>
      <c r="E1420">
        <v>1167.23</v>
      </c>
      <c r="F1420">
        <v>4.8600000000000003</v>
      </c>
      <c r="G1420">
        <v>100</v>
      </c>
    </row>
    <row r="1421" spans="1:7" ht="14" x14ac:dyDescent="0.3">
      <c r="A1421" t="s">
        <v>1449</v>
      </c>
      <c r="B1421" t="s">
        <v>22</v>
      </c>
      <c r="C1421">
        <v>8</v>
      </c>
      <c r="D1421">
        <v>9</v>
      </c>
      <c r="E1421">
        <v>1166.0899999999999</v>
      </c>
      <c r="F1421">
        <v>4.8899999999999997</v>
      </c>
      <c r="G1421">
        <v>100</v>
      </c>
    </row>
    <row r="1422" spans="1:7" ht="14" x14ac:dyDescent="0.3">
      <c r="A1422" t="s">
        <v>1450</v>
      </c>
      <c r="B1422" t="s">
        <v>22</v>
      </c>
      <c r="C1422">
        <v>16</v>
      </c>
      <c r="D1422">
        <v>16</v>
      </c>
      <c r="E1422">
        <v>1164.3800000000001</v>
      </c>
      <c r="F1422">
        <v>4.5599999999999996</v>
      </c>
      <c r="G1422">
        <v>100</v>
      </c>
    </row>
    <row r="1423" spans="1:7" ht="14" x14ac:dyDescent="0.3">
      <c r="A1423" t="s">
        <v>1451</v>
      </c>
      <c r="B1423" t="s">
        <v>8</v>
      </c>
      <c r="C1423">
        <v>5</v>
      </c>
      <c r="D1423">
        <v>5</v>
      </c>
      <c r="E1423">
        <v>1162.81</v>
      </c>
      <c r="F1423">
        <v>4.8</v>
      </c>
      <c r="G1423">
        <v>100</v>
      </c>
    </row>
    <row r="1424" spans="1:7" ht="14" x14ac:dyDescent="0.3">
      <c r="A1424" t="s">
        <v>1452</v>
      </c>
      <c r="B1424" t="s">
        <v>87</v>
      </c>
      <c r="C1424">
        <v>14</v>
      </c>
      <c r="D1424">
        <v>18</v>
      </c>
      <c r="E1424">
        <v>1155.26</v>
      </c>
      <c r="F1424">
        <v>4.72</v>
      </c>
      <c r="G1424">
        <v>100</v>
      </c>
    </row>
    <row r="1425" spans="1:7" ht="14" x14ac:dyDescent="0.3">
      <c r="A1425" t="s">
        <v>1453</v>
      </c>
      <c r="B1425" t="s">
        <v>777</v>
      </c>
      <c r="C1425">
        <v>6</v>
      </c>
      <c r="D1425">
        <v>6</v>
      </c>
      <c r="E1425">
        <v>1154.72</v>
      </c>
      <c r="F1425">
        <v>4.17</v>
      </c>
      <c r="G1425">
        <v>100</v>
      </c>
    </row>
    <row r="1426" spans="1:7" ht="14" x14ac:dyDescent="0.3">
      <c r="A1426" t="s">
        <v>1454</v>
      </c>
      <c r="B1426" t="s">
        <v>22</v>
      </c>
      <c r="C1426">
        <v>16</v>
      </c>
      <c r="D1426">
        <v>16</v>
      </c>
      <c r="E1426">
        <v>1149.8599999999999</v>
      </c>
      <c r="F1426">
        <v>4.5599999999999996</v>
      </c>
      <c r="G1426">
        <v>100</v>
      </c>
    </row>
    <row r="1427" spans="1:7" ht="14" x14ac:dyDescent="0.3">
      <c r="A1427" t="s">
        <v>1455</v>
      </c>
      <c r="B1427" t="s">
        <v>22</v>
      </c>
      <c r="C1427">
        <v>12</v>
      </c>
      <c r="D1427">
        <v>12</v>
      </c>
      <c r="E1427">
        <v>1149.78</v>
      </c>
      <c r="F1427">
        <v>3.83</v>
      </c>
      <c r="G1427">
        <v>100</v>
      </c>
    </row>
    <row r="1428" spans="1:7" ht="14" x14ac:dyDescent="0.3">
      <c r="A1428" t="s">
        <v>1456</v>
      </c>
      <c r="B1428" t="s">
        <v>42</v>
      </c>
      <c r="C1428">
        <v>10</v>
      </c>
      <c r="D1428">
        <v>10</v>
      </c>
      <c r="E1428">
        <v>1144.83</v>
      </c>
      <c r="F1428">
        <v>4.0999999999999996</v>
      </c>
      <c r="G1428">
        <v>90</v>
      </c>
    </row>
    <row r="1429" spans="1:7" ht="14" x14ac:dyDescent="0.3">
      <c r="A1429" t="s">
        <v>1457</v>
      </c>
      <c r="B1429" t="s">
        <v>24</v>
      </c>
      <c r="C1429">
        <v>12</v>
      </c>
      <c r="D1429">
        <v>12</v>
      </c>
      <c r="E1429">
        <v>1143.24</v>
      </c>
      <c r="F1429">
        <v>4.42</v>
      </c>
      <c r="G1429">
        <v>83.3</v>
      </c>
    </row>
    <row r="1430" spans="1:7" ht="14" x14ac:dyDescent="0.3">
      <c r="A1430" t="s">
        <v>1458</v>
      </c>
      <c r="B1430" t="s">
        <v>42</v>
      </c>
      <c r="C1430">
        <v>3</v>
      </c>
      <c r="D1430">
        <v>5</v>
      </c>
      <c r="E1430">
        <v>1142.55</v>
      </c>
      <c r="F1430">
        <v>3.6</v>
      </c>
      <c r="G1430">
        <v>100</v>
      </c>
    </row>
    <row r="1431" spans="1:7" ht="14" x14ac:dyDescent="0.3">
      <c r="A1431" t="s">
        <v>1459</v>
      </c>
      <c r="B1431" t="s">
        <v>8</v>
      </c>
      <c r="C1431">
        <v>7</v>
      </c>
      <c r="D1431">
        <v>8</v>
      </c>
      <c r="E1431">
        <v>1139.93</v>
      </c>
      <c r="F1431">
        <v>4.88</v>
      </c>
      <c r="G1431">
        <v>100</v>
      </c>
    </row>
    <row r="1432" spans="1:7" ht="14" x14ac:dyDescent="0.3">
      <c r="A1432" t="s">
        <v>1460</v>
      </c>
      <c r="B1432" t="s">
        <v>418</v>
      </c>
      <c r="C1432">
        <v>11</v>
      </c>
      <c r="D1432">
        <v>11</v>
      </c>
      <c r="E1432">
        <v>1136.52</v>
      </c>
      <c r="F1432">
        <v>4</v>
      </c>
      <c r="G1432">
        <v>90.9</v>
      </c>
    </row>
    <row r="1433" spans="1:7" ht="14" x14ac:dyDescent="0.3">
      <c r="A1433" t="s">
        <v>1461</v>
      </c>
      <c r="B1433" t="s">
        <v>87</v>
      </c>
      <c r="C1433">
        <v>15</v>
      </c>
      <c r="D1433">
        <v>16</v>
      </c>
      <c r="E1433">
        <v>1129.5</v>
      </c>
      <c r="F1433">
        <v>4.6900000000000004</v>
      </c>
      <c r="G1433">
        <v>100</v>
      </c>
    </row>
    <row r="1434" spans="1:7" ht="14" x14ac:dyDescent="0.3">
      <c r="A1434" t="s">
        <v>1462</v>
      </c>
      <c r="B1434" t="s">
        <v>241</v>
      </c>
      <c r="C1434">
        <v>8</v>
      </c>
      <c r="D1434">
        <v>9</v>
      </c>
      <c r="E1434">
        <v>1128.24</v>
      </c>
      <c r="F1434">
        <v>4.1100000000000003</v>
      </c>
      <c r="G1434">
        <v>100</v>
      </c>
    </row>
    <row r="1435" spans="1:7" ht="14" x14ac:dyDescent="0.3">
      <c r="A1435" t="s">
        <v>1463</v>
      </c>
      <c r="B1435" t="s">
        <v>42</v>
      </c>
      <c r="C1435">
        <v>20</v>
      </c>
      <c r="D1435">
        <v>23</v>
      </c>
      <c r="E1435">
        <v>1128.21</v>
      </c>
      <c r="F1435">
        <v>3.7</v>
      </c>
      <c r="G1435">
        <v>100</v>
      </c>
    </row>
    <row r="1436" spans="1:7" ht="14" x14ac:dyDescent="0.3">
      <c r="A1436" t="s">
        <v>1464</v>
      </c>
      <c r="B1436" t="s">
        <v>8</v>
      </c>
      <c r="C1436">
        <v>9</v>
      </c>
      <c r="D1436">
        <v>9</v>
      </c>
      <c r="E1436">
        <v>1125.6099999999999</v>
      </c>
      <c r="F1436">
        <v>4.33</v>
      </c>
      <c r="G1436">
        <v>77.8</v>
      </c>
    </row>
    <row r="1437" spans="1:7" ht="14" x14ac:dyDescent="0.3">
      <c r="A1437" t="s">
        <v>1465</v>
      </c>
      <c r="B1437" t="s">
        <v>8</v>
      </c>
      <c r="C1437">
        <v>6</v>
      </c>
      <c r="D1437">
        <v>6</v>
      </c>
      <c r="E1437">
        <v>1125.49</v>
      </c>
      <c r="F1437">
        <v>1.8</v>
      </c>
      <c r="G1437">
        <v>33.299999999999997</v>
      </c>
    </row>
    <row r="1438" spans="1:7" ht="14" x14ac:dyDescent="0.3">
      <c r="A1438" t="s">
        <v>1466</v>
      </c>
      <c r="B1438" t="s">
        <v>8</v>
      </c>
      <c r="C1438">
        <v>9</v>
      </c>
      <c r="D1438">
        <v>9</v>
      </c>
      <c r="E1438">
        <v>1121.92</v>
      </c>
      <c r="F1438">
        <v>4.1100000000000003</v>
      </c>
      <c r="G1438">
        <v>88.9</v>
      </c>
    </row>
    <row r="1439" spans="1:7" ht="14" x14ac:dyDescent="0.3">
      <c r="A1439" t="s">
        <v>1467</v>
      </c>
      <c r="B1439" t="s">
        <v>42</v>
      </c>
      <c r="C1439">
        <v>9</v>
      </c>
      <c r="D1439">
        <v>9</v>
      </c>
      <c r="E1439">
        <v>1121.83</v>
      </c>
      <c r="F1439">
        <v>3.63</v>
      </c>
      <c r="G1439">
        <v>100</v>
      </c>
    </row>
    <row r="1440" spans="1:7" ht="14" x14ac:dyDescent="0.3">
      <c r="A1440" t="s">
        <v>1468</v>
      </c>
      <c r="B1440" t="s">
        <v>24</v>
      </c>
      <c r="C1440">
        <v>10</v>
      </c>
      <c r="D1440">
        <v>12</v>
      </c>
      <c r="E1440">
        <v>1121.02</v>
      </c>
      <c r="F1440">
        <v>4.42</v>
      </c>
      <c r="G1440">
        <v>100</v>
      </c>
    </row>
    <row r="1441" spans="1:7" ht="14" x14ac:dyDescent="0.3">
      <c r="A1441" t="s">
        <v>1469</v>
      </c>
      <c r="B1441" t="s">
        <v>22</v>
      </c>
      <c r="C1441">
        <v>8</v>
      </c>
      <c r="D1441">
        <v>25</v>
      </c>
      <c r="E1441">
        <v>1119.6199999999999</v>
      </c>
      <c r="F1441">
        <v>4.5999999999999996</v>
      </c>
      <c r="G1441">
        <v>100</v>
      </c>
    </row>
    <row r="1442" spans="1:7" ht="14" x14ac:dyDescent="0.3">
      <c r="A1442" t="s">
        <v>1470</v>
      </c>
      <c r="B1442" t="s">
        <v>8</v>
      </c>
      <c r="C1442">
        <v>5</v>
      </c>
      <c r="D1442">
        <v>5</v>
      </c>
      <c r="E1442">
        <v>1118.5999999999999</v>
      </c>
      <c r="F1442">
        <v>4.4000000000000004</v>
      </c>
      <c r="G1442">
        <v>100</v>
      </c>
    </row>
    <row r="1443" spans="1:7" ht="14" x14ac:dyDescent="0.3">
      <c r="A1443" t="s">
        <v>1471</v>
      </c>
      <c r="B1443" t="s">
        <v>8</v>
      </c>
      <c r="C1443">
        <v>8</v>
      </c>
      <c r="D1443">
        <v>8</v>
      </c>
      <c r="E1443">
        <v>1117.19</v>
      </c>
      <c r="F1443">
        <v>4.63</v>
      </c>
      <c r="G1443">
        <v>100</v>
      </c>
    </row>
    <row r="1444" spans="1:7" ht="14" x14ac:dyDescent="0.3">
      <c r="A1444" t="s">
        <v>1472</v>
      </c>
      <c r="B1444" t="s">
        <v>8</v>
      </c>
      <c r="C1444">
        <v>7</v>
      </c>
      <c r="D1444">
        <v>8</v>
      </c>
      <c r="E1444">
        <v>1114.26</v>
      </c>
      <c r="F1444">
        <v>4.25</v>
      </c>
      <c r="G1444">
        <v>100</v>
      </c>
    </row>
    <row r="1445" spans="1:7" ht="14" x14ac:dyDescent="0.3">
      <c r="A1445" t="s">
        <v>1473</v>
      </c>
      <c r="B1445" t="s">
        <v>8</v>
      </c>
      <c r="C1445">
        <v>19</v>
      </c>
      <c r="D1445">
        <v>22</v>
      </c>
      <c r="E1445">
        <v>1111.04</v>
      </c>
      <c r="F1445">
        <v>4.2300000000000004</v>
      </c>
      <c r="G1445">
        <v>95.5</v>
      </c>
    </row>
    <row r="1446" spans="1:7" ht="14" x14ac:dyDescent="0.3">
      <c r="A1446" t="s">
        <v>1474</v>
      </c>
      <c r="B1446" t="s">
        <v>24</v>
      </c>
      <c r="C1446">
        <v>3</v>
      </c>
      <c r="D1446">
        <v>3</v>
      </c>
      <c r="E1446">
        <v>1110.54</v>
      </c>
      <c r="F1446">
        <v>4.33</v>
      </c>
      <c r="G1446">
        <v>100</v>
      </c>
    </row>
    <row r="1447" spans="1:7" ht="14" x14ac:dyDescent="0.3">
      <c r="A1447" t="s">
        <v>1475</v>
      </c>
      <c r="B1447" t="s">
        <v>309</v>
      </c>
      <c r="C1447">
        <v>12</v>
      </c>
      <c r="D1447">
        <v>13</v>
      </c>
      <c r="E1447">
        <v>1108.54</v>
      </c>
      <c r="F1447">
        <v>3.33</v>
      </c>
      <c r="G1447">
        <v>100</v>
      </c>
    </row>
    <row r="1448" spans="1:7" ht="14" x14ac:dyDescent="0.3">
      <c r="A1448" t="s">
        <v>1476</v>
      </c>
      <c r="B1448" t="s">
        <v>42</v>
      </c>
      <c r="C1448">
        <v>9</v>
      </c>
      <c r="D1448">
        <v>9</v>
      </c>
      <c r="E1448">
        <v>1107.6199999999999</v>
      </c>
      <c r="F1448">
        <v>3.89</v>
      </c>
      <c r="G1448">
        <v>100</v>
      </c>
    </row>
    <row r="1449" spans="1:7" ht="14" x14ac:dyDescent="0.3">
      <c r="A1449" t="s">
        <v>1477</v>
      </c>
      <c r="B1449" t="s">
        <v>8</v>
      </c>
      <c r="C1449">
        <v>11</v>
      </c>
      <c r="D1449">
        <v>11</v>
      </c>
      <c r="E1449">
        <v>1101.99</v>
      </c>
      <c r="F1449">
        <v>4.45</v>
      </c>
      <c r="G1449">
        <v>100</v>
      </c>
    </row>
    <row r="1450" spans="1:7" ht="14" x14ac:dyDescent="0.3">
      <c r="A1450" t="s">
        <v>1478</v>
      </c>
      <c r="B1450" t="s">
        <v>8</v>
      </c>
      <c r="C1450">
        <v>11</v>
      </c>
      <c r="D1450">
        <v>11</v>
      </c>
      <c r="E1450">
        <v>1101.4100000000001</v>
      </c>
      <c r="F1450">
        <v>4.7300000000000004</v>
      </c>
      <c r="G1450">
        <v>100</v>
      </c>
    </row>
    <row r="1451" spans="1:7" ht="14" x14ac:dyDescent="0.3">
      <c r="A1451" t="s">
        <v>1479</v>
      </c>
      <c r="B1451" t="s">
        <v>42</v>
      </c>
      <c r="C1451">
        <v>4</v>
      </c>
      <c r="D1451">
        <v>6</v>
      </c>
      <c r="E1451">
        <v>1100.57</v>
      </c>
      <c r="F1451">
        <v>4.33</v>
      </c>
      <c r="G1451">
        <v>100</v>
      </c>
    </row>
    <row r="1452" spans="1:7" ht="14" x14ac:dyDescent="0.3">
      <c r="A1452" t="s">
        <v>1480</v>
      </c>
      <c r="B1452" t="s">
        <v>8</v>
      </c>
      <c r="C1452">
        <v>5</v>
      </c>
      <c r="D1452">
        <v>5</v>
      </c>
      <c r="E1452">
        <v>1099.5899999999999</v>
      </c>
      <c r="F1452">
        <v>4.5999999999999996</v>
      </c>
      <c r="G1452">
        <v>100</v>
      </c>
    </row>
    <row r="1453" spans="1:7" ht="14" x14ac:dyDescent="0.3">
      <c r="A1453" t="s">
        <v>1481</v>
      </c>
      <c r="B1453" t="s">
        <v>8</v>
      </c>
      <c r="C1453">
        <v>7</v>
      </c>
      <c r="D1453">
        <v>7</v>
      </c>
      <c r="E1453">
        <v>1098.8499999999999</v>
      </c>
      <c r="F1453">
        <v>4.1399999999999997</v>
      </c>
      <c r="G1453">
        <v>85.7</v>
      </c>
    </row>
    <row r="1454" spans="1:7" ht="14" x14ac:dyDescent="0.3">
      <c r="A1454" t="s">
        <v>1482</v>
      </c>
      <c r="B1454" t="s">
        <v>32</v>
      </c>
      <c r="C1454">
        <v>2</v>
      </c>
      <c r="D1454">
        <v>4</v>
      </c>
      <c r="E1454">
        <v>1098.33</v>
      </c>
      <c r="F1454">
        <v>5</v>
      </c>
      <c r="G1454">
        <v>100</v>
      </c>
    </row>
    <row r="1455" spans="1:7" ht="14" x14ac:dyDescent="0.3">
      <c r="A1455" t="s">
        <v>1483</v>
      </c>
      <c r="B1455" t="s">
        <v>8</v>
      </c>
      <c r="C1455">
        <v>10</v>
      </c>
      <c r="D1455">
        <v>15</v>
      </c>
      <c r="E1455">
        <v>1090.83</v>
      </c>
      <c r="F1455">
        <v>4.87</v>
      </c>
      <c r="G1455">
        <v>100</v>
      </c>
    </row>
    <row r="1456" spans="1:7" ht="14" x14ac:dyDescent="0.3">
      <c r="A1456" t="s">
        <v>1484</v>
      </c>
      <c r="B1456" t="s">
        <v>12</v>
      </c>
      <c r="C1456">
        <v>5</v>
      </c>
      <c r="D1456">
        <v>5</v>
      </c>
      <c r="E1456">
        <v>1089.04</v>
      </c>
      <c r="F1456">
        <v>4.8</v>
      </c>
      <c r="G1456">
        <v>100</v>
      </c>
    </row>
    <row r="1457" spans="1:7" ht="14" x14ac:dyDescent="0.3">
      <c r="A1457" t="s">
        <v>1485</v>
      </c>
      <c r="B1457" t="s">
        <v>24</v>
      </c>
      <c r="C1457">
        <v>5</v>
      </c>
      <c r="D1457">
        <v>5</v>
      </c>
      <c r="E1457">
        <v>1086.5999999999999</v>
      </c>
      <c r="F1457">
        <v>4.8</v>
      </c>
      <c r="G1457">
        <v>100</v>
      </c>
    </row>
    <row r="1458" spans="1:7" ht="14" x14ac:dyDescent="0.3">
      <c r="A1458" t="s">
        <v>1486</v>
      </c>
      <c r="B1458" t="s">
        <v>42</v>
      </c>
      <c r="C1458">
        <v>4</v>
      </c>
      <c r="D1458">
        <v>4</v>
      </c>
      <c r="E1458">
        <v>1085.83</v>
      </c>
      <c r="F1458">
        <v>4.5</v>
      </c>
      <c r="G1458">
        <v>75</v>
      </c>
    </row>
    <row r="1459" spans="1:7" ht="14" x14ac:dyDescent="0.3">
      <c r="A1459" t="s">
        <v>1487</v>
      </c>
      <c r="B1459" t="s">
        <v>8</v>
      </c>
      <c r="C1459">
        <v>3</v>
      </c>
      <c r="D1459">
        <v>4</v>
      </c>
      <c r="E1459">
        <v>1085.18</v>
      </c>
      <c r="F1459">
        <v>2</v>
      </c>
      <c r="G1459">
        <v>100</v>
      </c>
    </row>
    <row r="1460" spans="1:7" ht="14" x14ac:dyDescent="0.3">
      <c r="A1460" t="s">
        <v>1488</v>
      </c>
      <c r="B1460" t="s">
        <v>32</v>
      </c>
      <c r="C1460">
        <v>7</v>
      </c>
      <c r="D1460">
        <v>13</v>
      </c>
      <c r="E1460">
        <v>1084.92</v>
      </c>
      <c r="F1460">
        <v>4.54</v>
      </c>
      <c r="G1460">
        <v>100</v>
      </c>
    </row>
    <row r="1461" spans="1:7" ht="14" x14ac:dyDescent="0.3">
      <c r="A1461" s="1" t="s">
        <v>1489</v>
      </c>
      <c r="B1461" t="s">
        <v>24</v>
      </c>
      <c r="C1461">
        <v>1</v>
      </c>
      <c r="D1461">
        <v>1</v>
      </c>
      <c r="E1461">
        <v>1083.96</v>
      </c>
      <c r="F1461">
        <v>1</v>
      </c>
      <c r="G1461">
        <v>0</v>
      </c>
    </row>
    <row r="1462" spans="1:7" ht="14" x14ac:dyDescent="0.3">
      <c r="A1462" s="1" t="s">
        <v>1490</v>
      </c>
      <c r="B1462" t="s">
        <v>42</v>
      </c>
      <c r="C1462">
        <v>6</v>
      </c>
      <c r="D1462">
        <v>7</v>
      </c>
      <c r="E1462">
        <v>1081.1600000000001</v>
      </c>
      <c r="F1462">
        <v>4.1399999999999997</v>
      </c>
      <c r="G1462">
        <v>100</v>
      </c>
    </row>
    <row r="1463" spans="1:7" ht="14" x14ac:dyDescent="0.3">
      <c r="A1463" t="s">
        <v>1491</v>
      </c>
      <c r="B1463" t="s">
        <v>42</v>
      </c>
      <c r="C1463">
        <v>1</v>
      </c>
      <c r="D1463">
        <v>2</v>
      </c>
      <c r="E1463">
        <v>1080.56</v>
      </c>
      <c r="F1463">
        <v>1</v>
      </c>
      <c r="G1463">
        <v>100</v>
      </c>
    </row>
    <row r="1464" spans="1:7" ht="14" x14ac:dyDescent="0.3">
      <c r="A1464" t="s">
        <v>1492</v>
      </c>
      <c r="B1464" t="s">
        <v>8</v>
      </c>
      <c r="C1464">
        <v>17</v>
      </c>
      <c r="D1464">
        <v>19</v>
      </c>
      <c r="E1464">
        <v>1079.9000000000001</v>
      </c>
      <c r="F1464">
        <v>4.47</v>
      </c>
      <c r="G1464">
        <v>100</v>
      </c>
    </row>
    <row r="1465" spans="1:7" ht="14" x14ac:dyDescent="0.3">
      <c r="A1465" t="s">
        <v>1493</v>
      </c>
      <c r="B1465" t="s">
        <v>8</v>
      </c>
      <c r="C1465">
        <v>1</v>
      </c>
      <c r="D1465">
        <v>5</v>
      </c>
      <c r="E1465">
        <v>1079.75</v>
      </c>
      <c r="F1465">
        <v>1</v>
      </c>
      <c r="G1465">
        <v>100</v>
      </c>
    </row>
    <row r="1466" spans="1:7" ht="14" x14ac:dyDescent="0.3">
      <c r="A1466" t="s">
        <v>1494</v>
      </c>
      <c r="B1466" t="s">
        <v>8</v>
      </c>
      <c r="C1466">
        <v>7</v>
      </c>
      <c r="D1466">
        <v>8</v>
      </c>
      <c r="E1466">
        <v>1078.43</v>
      </c>
      <c r="F1466">
        <v>3.63</v>
      </c>
      <c r="G1466">
        <v>100</v>
      </c>
    </row>
    <row r="1467" spans="1:7" ht="14" x14ac:dyDescent="0.3">
      <c r="A1467" t="s">
        <v>1495</v>
      </c>
      <c r="B1467" t="s">
        <v>87</v>
      </c>
      <c r="C1467">
        <v>14</v>
      </c>
      <c r="D1467">
        <v>15</v>
      </c>
      <c r="E1467">
        <v>1075.48</v>
      </c>
      <c r="F1467">
        <v>4</v>
      </c>
      <c r="G1467">
        <v>100</v>
      </c>
    </row>
    <row r="1468" spans="1:7" ht="14" x14ac:dyDescent="0.3">
      <c r="A1468" t="s">
        <v>1496</v>
      </c>
      <c r="B1468" t="s">
        <v>8</v>
      </c>
      <c r="C1468">
        <v>8</v>
      </c>
      <c r="D1468">
        <v>8</v>
      </c>
      <c r="E1468">
        <v>1075.1199999999999</v>
      </c>
      <c r="F1468">
        <v>4.25</v>
      </c>
      <c r="G1468">
        <v>87.5</v>
      </c>
    </row>
    <row r="1469" spans="1:7" ht="14" x14ac:dyDescent="0.3">
      <c r="A1469" t="s">
        <v>1497</v>
      </c>
      <c r="B1469" t="s">
        <v>8</v>
      </c>
      <c r="C1469">
        <v>3</v>
      </c>
      <c r="D1469">
        <v>7</v>
      </c>
      <c r="E1469">
        <v>1072.22</v>
      </c>
      <c r="F1469">
        <v>2.71</v>
      </c>
      <c r="G1469">
        <v>85.7</v>
      </c>
    </row>
    <row r="1470" spans="1:7" ht="14" x14ac:dyDescent="0.3">
      <c r="A1470" t="s">
        <v>1498</v>
      </c>
      <c r="B1470" t="s">
        <v>24</v>
      </c>
      <c r="C1470">
        <v>2</v>
      </c>
      <c r="D1470">
        <v>2</v>
      </c>
      <c r="E1470">
        <v>1070.3900000000001</v>
      </c>
      <c r="F1470">
        <v>5</v>
      </c>
      <c r="G1470">
        <v>100</v>
      </c>
    </row>
    <row r="1471" spans="1:7" ht="14" x14ac:dyDescent="0.3">
      <c r="A1471" t="s">
        <v>1499</v>
      </c>
      <c r="B1471" t="s">
        <v>8</v>
      </c>
      <c r="C1471">
        <v>9</v>
      </c>
      <c r="D1471">
        <v>12</v>
      </c>
      <c r="E1471">
        <v>1065.49</v>
      </c>
      <c r="F1471">
        <v>4.83</v>
      </c>
      <c r="G1471">
        <v>100</v>
      </c>
    </row>
    <row r="1472" spans="1:7" ht="14" x14ac:dyDescent="0.3">
      <c r="A1472" t="s">
        <v>1500</v>
      </c>
      <c r="B1472" t="s">
        <v>87</v>
      </c>
      <c r="C1472">
        <v>6</v>
      </c>
      <c r="D1472">
        <v>6</v>
      </c>
      <c r="E1472">
        <v>1063.97</v>
      </c>
      <c r="F1472">
        <v>3.5</v>
      </c>
      <c r="G1472">
        <v>100</v>
      </c>
    </row>
    <row r="1473" spans="1:7" ht="14" x14ac:dyDescent="0.3">
      <c r="A1473" t="s">
        <v>1501</v>
      </c>
      <c r="B1473" t="s">
        <v>8</v>
      </c>
      <c r="C1473">
        <v>12</v>
      </c>
      <c r="D1473">
        <v>16</v>
      </c>
      <c r="E1473">
        <v>1061.28</v>
      </c>
      <c r="F1473">
        <v>3.75</v>
      </c>
      <c r="G1473">
        <v>56.3</v>
      </c>
    </row>
    <row r="1474" spans="1:7" ht="14" x14ac:dyDescent="0.3">
      <c r="A1474" t="s">
        <v>1502</v>
      </c>
      <c r="B1474" t="s">
        <v>32</v>
      </c>
      <c r="C1474">
        <v>13</v>
      </c>
      <c r="D1474">
        <v>14</v>
      </c>
      <c r="E1474">
        <v>1058.68</v>
      </c>
      <c r="F1474">
        <v>4.93</v>
      </c>
      <c r="G1474">
        <v>100</v>
      </c>
    </row>
    <row r="1475" spans="1:7" ht="14" x14ac:dyDescent="0.3">
      <c r="A1475" t="s">
        <v>1503</v>
      </c>
      <c r="B1475" t="s">
        <v>8</v>
      </c>
      <c r="C1475">
        <v>3</v>
      </c>
      <c r="D1475">
        <v>4</v>
      </c>
      <c r="E1475">
        <v>1058.49</v>
      </c>
      <c r="F1475">
        <v>2</v>
      </c>
      <c r="G1475">
        <v>100</v>
      </c>
    </row>
    <row r="1476" spans="1:7" ht="14" x14ac:dyDescent="0.3">
      <c r="A1476" t="s">
        <v>1504</v>
      </c>
      <c r="B1476" t="s">
        <v>87</v>
      </c>
      <c r="C1476">
        <v>5</v>
      </c>
      <c r="D1476">
        <v>5</v>
      </c>
      <c r="E1476">
        <v>1053.25</v>
      </c>
      <c r="F1476">
        <v>3.4</v>
      </c>
      <c r="G1476">
        <v>100</v>
      </c>
    </row>
    <row r="1477" spans="1:7" ht="14" x14ac:dyDescent="0.3">
      <c r="A1477" t="s">
        <v>1505</v>
      </c>
      <c r="B1477" t="s">
        <v>8</v>
      </c>
      <c r="C1477">
        <v>8</v>
      </c>
      <c r="D1477">
        <v>11</v>
      </c>
      <c r="E1477">
        <v>1053.01</v>
      </c>
      <c r="F1477">
        <v>4.55</v>
      </c>
      <c r="G1477">
        <v>100</v>
      </c>
    </row>
    <row r="1478" spans="1:7" ht="14" x14ac:dyDescent="0.3">
      <c r="A1478" t="s">
        <v>1506</v>
      </c>
      <c r="B1478" t="s">
        <v>42</v>
      </c>
      <c r="C1478">
        <v>8</v>
      </c>
      <c r="D1478">
        <v>9</v>
      </c>
      <c r="E1478">
        <v>1052.7</v>
      </c>
      <c r="F1478">
        <v>4.1100000000000003</v>
      </c>
      <c r="G1478">
        <v>100</v>
      </c>
    </row>
    <row r="1479" spans="1:7" ht="14" x14ac:dyDescent="0.3">
      <c r="A1479" t="s">
        <v>1507</v>
      </c>
      <c r="B1479" t="s">
        <v>42</v>
      </c>
      <c r="C1479">
        <v>8</v>
      </c>
      <c r="D1479">
        <v>16</v>
      </c>
      <c r="E1479">
        <v>1050.07</v>
      </c>
      <c r="F1479">
        <v>4.63</v>
      </c>
      <c r="G1479">
        <v>68.8</v>
      </c>
    </row>
    <row r="1480" spans="1:7" ht="14" x14ac:dyDescent="0.3">
      <c r="A1480" t="s">
        <v>1508</v>
      </c>
      <c r="B1480" t="s">
        <v>8</v>
      </c>
      <c r="C1480">
        <v>9</v>
      </c>
      <c r="D1480">
        <v>9</v>
      </c>
      <c r="E1480">
        <v>1049.57</v>
      </c>
      <c r="F1480">
        <v>4.8899999999999997</v>
      </c>
      <c r="G1480">
        <v>100</v>
      </c>
    </row>
    <row r="1481" spans="1:7" ht="14" x14ac:dyDescent="0.3">
      <c r="A1481" t="s">
        <v>1509</v>
      </c>
      <c r="B1481" t="s">
        <v>8</v>
      </c>
      <c r="C1481">
        <v>4</v>
      </c>
      <c r="D1481">
        <v>4</v>
      </c>
      <c r="E1481">
        <v>1048.6099999999999</v>
      </c>
      <c r="F1481">
        <v>4</v>
      </c>
      <c r="G1481">
        <v>75</v>
      </c>
    </row>
    <row r="1482" spans="1:7" ht="14" x14ac:dyDescent="0.3">
      <c r="A1482" t="s">
        <v>1510</v>
      </c>
      <c r="B1482" t="s">
        <v>8</v>
      </c>
      <c r="C1482">
        <v>16</v>
      </c>
      <c r="D1482">
        <v>17</v>
      </c>
      <c r="E1482">
        <v>1047.1500000000001</v>
      </c>
      <c r="F1482">
        <v>4.24</v>
      </c>
      <c r="G1482">
        <v>88.2</v>
      </c>
    </row>
    <row r="1483" spans="1:7" ht="14" x14ac:dyDescent="0.3">
      <c r="A1483" t="s">
        <v>1511</v>
      </c>
      <c r="B1483" t="s">
        <v>8</v>
      </c>
      <c r="C1483">
        <v>7</v>
      </c>
      <c r="D1483">
        <v>7</v>
      </c>
      <c r="E1483">
        <v>1042.07</v>
      </c>
      <c r="F1483">
        <v>3.71</v>
      </c>
      <c r="G1483">
        <v>71.400000000000006</v>
      </c>
    </row>
    <row r="1484" spans="1:7" ht="14" x14ac:dyDescent="0.3">
      <c r="A1484" t="s">
        <v>1512</v>
      </c>
      <c r="B1484" t="s">
        <v>8</v>
      </c>
      <c r="C1484">
        <v>6</v>
      </c>
      <c r="D1484">
        <v>6</v>
      </c>
      <c r="E1484">
        <v>1041.04</v>
      </c>
      <c r="F1484">
        <v>3.67</v>
      </c>
      <c r="G1484">
        <v>83.3</v>
      </c>
    </row>
    <row r="1485" spans="1:7" ht="14" x14ac:dyDescent="0.3">
      <c r="A1485" t="s">
        <v>1513</v>
      </c>
      <c r="B1485" t="s">
        <v>24</v>
      </c>
      <c r="C1485">
        <v>3</v>
      </c>
      <c r="D1485">
        <v>3</v>
      </c>
      <c r="E1485">
        <v>1039.47</v>
      </c>
      <c r="F1485">
        <v>3.67</v>
      </c>
      <c r="G1485">
        <v>66.7</v>
      </c>
    </row>
    <row r="1486" spans="1:7" ht="14" x14ac:dyDescent="0.3">
      <c r="A1486" t="s">
        <v>1514</v>
      </c>
      <c r="B1486" t="s">
        <v>87</v>
      </c>
      <c r="C1486">
        <v>1</v>
      </c>
      <c r="D1486">
        <v>1</v>
      </c>
      <c r="E1486">
        <v>1038.9000000000001</v>
      </c>
      <c r="F1486">
        <v>5</v>
      </c>
      <c r="G1486">
        <v>100</v>
      </c>
    </row>
    <row r="1487" spans="1:7" ht="14" x14ac:dyDescent="0.3">
      <c r="A1487" t="s">
        <v>1515</v>
      </c>
      <c r="B1487" t="s">
        <v>8</v>
      </c>
      <c r="C1487">
        <v>8</v>
      </c>
      <c r="D1487">
        <v>8</v>
      </c>
      <c r="E1487">
        <v>1038.3499999999999</v>
      </c>
      <c r="F1487">
        <v>3.5</v>
      </c>
      <c r="G1487">
        <v>87.5</v>
      </c>
    </row>
    <row r="1488" spans="1:7" ht="14" x14ac:dyDescent="0.3">
      <c r="A1488" t="s">
        <v>1516</v>
      </c>
      <c r="B1488" t="s">
        <v>8</v>
      </c>
      <c r="C1488">
        <v>13</v>
      </c>
      <c r="D1488">
        <v>14</v>
      </c>
      <c r="E1488">
        <v>1037.74</v>
      </c>
      <c r="F1488">
        <v>4.6900000000000004</v>
      </c>
      <c r="G1488">
        <v>100</v>
      </c>
    </row>
    <row r="1489" spans="1:7" ht="14" x14ac:dyDescent="0.3">
      <c r="A1489" t="s">
        <v>1517</v>
      </c>
      <c r="B1489" t="s">
        <v>8</v>
      </c>
      <c r="C1489">
        <v>9</v>
      </c>
      <c r="D1489">
        <v>9</v>
      </c>
      <c r="E1489">
        <v>1032.3900000000001</v>
      </c>
      <c r="F1489">
        <v>4.33</v>
      </c>
      <c r="G1489">
        <v>88.9</v>
      </c>
    </row>
    <row r="1490" spans="1:7" ht="14" x14ac:dyDescent="0.3">
      <c r="A1490" t="s">
        <v>1518</v>
      </c>
      <c r="B1490" t="s">
        <v>32</v>
      </c>
      <c r="C1490">
        <v>6</v>
      </c>
      <c r="D1490">
        <v>19</v>
      </c>
      <c r="E1490">
        <v>1030.18</v>
      </c>
      <c r="F1490">
        <v>3</v>
      </c>
      <c r="G1490">
        <v>100</v>
      </c>
    </row>
    <row r="1491" spans="1:7" ht="14" x14ac:dyDescent="0.3">
      <c r="A1491" t="s">
        <v>1519</v>
      </c>
      <c r="B1491" t="s">
        <v>8</v>
      </c>
      <c r="C1491">
        <v>5</v>
      </c>
      <c r="D1491">
        <v>5</v>
      </c>
      <c r="E1491">
        <v>1029.04</v>
      </c>
      <c r="F1491">
        <v>2.6</v>
      </c>
      <c r="G1491">
        <v>80</v>
      </c>
    </row>
    <row r="1492" spans="1:7" ht="14" x14ac:dyDescent="0.3">
      <c r="A1492" t="s">
        <v>1520</v>
      </c>
      <c r="B1492" t="s">
        <v>24</v>
      </c>
      <c r="C1492">
        <v>5</v>
      </c>
      <c r="D1492">
        <v>11</v>
      </c>
      <c r="E1492">
        <v>1028.99</v>
      </c>
      <c r="F1492">
        <v>2.73</v>
      </c>
      <c r="G1492">
        <v>100</v>
      </c>
    </row>
    <row r="1493" spans="1:7" ht="14" x14ac:dyDescent="0.3">
      <c r="A1493" t="s">
        <v>1521</v>
      </c>
      <c r="B1493" t="s">
        <v>87</v>
      </c>
      <c r="C1493">
        <v>7</v>
      </c>
      <c r="D1493">
        <v>7</v>
      </c>
      <c r="E1493">
        <v>1027.3699999999999</v>
      </c>
      <c r="F1493">
        <v>4.43</v>
      </c>
      <c r="G1493">
        <v>100</v>
      </c>
    </row>
    <row r="1494" spans="1:7" ht="14" x14ac:dyDescent="0.3">
      <c r="A1494" t="s">
        <v>1522</v>
      </c>
      <c r="B1494" t="s">
        <v>22</v>
      </c>
      <c r="C1494">
        <v>21</v>
      </c>
      <c r="D1494">
        <v>22</v>
      </c>
      <c r="E1494">
        <v>1027.1199999999999</v>
      </c>
      <c r="F1494">
        <v>4.2699999999999996</v>
      </c>
      <c r="G1494">
        <v>90.9</v>
      </c>
    </row>
    <row r="1495" spans="1:7" ht="14" x14ac:dyDescent="0.3">
      <c r="A1495" t="s">
        <v>1523</v>
      </c>
      <c r="B1495" t="s">
        <v>8</v>
      </c>
      <c r="C1495">
        <v>1</v>
      </c>
      <c r="D1495">
        <v>1</v>
      </c>
      <c r="E1495">
        <v>1025.24</v>
      </c>
      <c r="F1495">
        <v>5</v>
      </c>
      <c r="G1495">
        <v>100</v>
      </c>
    </row>
    <row r="1496" spans="1:7" ht="14" x14ac:dyDescent="0.3">
      <c r="A1496" t="s">
        <v>1524</v>
      </c>
      <c r="B1496" t="s">
        <v>87</v>
      </c>
      <c r="C1496">
        <v>10</v>
      </c>
      <c r="D1496">
        <v>11</v>
      </c>
      <c r="E1496">
        <v>1023.38</v>
      </c>
      <c r="F1496">
        <v>4.82</v>
      </c>
      <c r="G1496">
        <v>100</v>
      </c>
    </row>
    <row r="1497" spans="1:7" ht="14" x14ac:dyDescent="0.3">
      <c r="A1497" t="s">
        <v>1525</v>
      </c>
      <c r="B1497" t="s">
        <v>24</v>
      </c>
      <c r="C1497">
        <v>11</v>
      </c>
      <c r="D1497">
        <v>11</v>
      </c>
      <c r="E1497">
        <v>1015.93</v>
      </c>
      <c r="F1497">
        <v>4.55</v>
      </c>
      <c r="G1497">
        <v>100</v>
      </c>
    </row>
    <row r="1498" spans="1:7" ht="14" x14ac:dyDescent="0.3">
      <c r="A1498" t="s">
        <v>1526</v>
      </c>
      <c r="B1498" t="s">
        <v>22</v>
      </c>
      <c r="C1498">
        <v>7</v>
      </c>
      <c r="D1498">
        <v>7</v>
      </c>
      <c r="E1498">
        <v>1014.95</v>
      </c>
      <c r="F1498">
        <v>4.71</v>
      </c>
      <c r="G1498">
        <v>100</v>
      </c>
    </row>
    <row r="1499" spans="1:7" ht="14" x14ac:dyDescent="0.3">
      <c r="A1499" t="s">
        <v>1527</v>
      </c>
      <c r="B1499" t="s">
        <v>8</v>
      </c>
      <c r="C1499">
        <v>10</v>
      </c>
      <c r="D1499">
        <v>10</v>
      </c>
      <c r="E1499">
        <v>1014.62</v>
      </c>
      <c r="F1499">
        <v>4.8</v>
      </c>
      <c r="G1499">
        <v>100</v>
      </c>
    </row>
    <row r="1500" spans="1:7" ht="14" x14ac:dyDescent="0.3">
      <c r="A1500" t="s">
        <v>1528</v>
      </c>
      <c r="B1500" t="s">
        <v>8</v>
      </c>
      <c r="C1500">
        <v>2</v>
      </c>
      <c r="D1500">
        <v>2</v>
      </c>
      <c r="E1500">
        <v>1013.84</v>
      </c>
      <c r="F1500">
        <v>4.5</v>
      </c>
      <c r="G1500">
        <v>50</v>
      </c>
    </row>
    <row r="1501" spans="1:7" ht="14" x14ac:dyDescent="0.3">
      <c r="A1501" t="s">
        <v>1529</v>
      </c>
      <c r="B1501" t="s">
        <v>22</v>
      </c>
      <c r="C1501">
        <v>7</v>
      </c>
      <c r="D1501">
        <v>7</v>
      </c>
      <c r="E1501">
        <v>1013.59</v>
      </c>
      <c r="F1501">
        <v>4.57</v>
      </c>
      <c r="G1501">
        <v>100</v>
      </c>
    </row>
    <row r="1502" spans="1:7" ht="14" x14ac:dyDescent="0.3">
      <c r="A1502" t="s">
        <v>1530</v>
      </c>
      <c r="B1502" t="s">
        <v>101</v>
      </c>
      <c r="C1502">
        <v>11</v>
      </c>
      <c r="D1502">
        <v>11</v>
      </c>
      <c r="E1502">
        <v>1008.97</v>
      </c>
      <c r="F1502">
        <v>3.82</v>
      </c>
      <c r="G1502">
        <v>100</v>
      </c>
    </row>
    <row r="1503" spans="1:7" ht="14" x14ac:dyDescent="0.3">
      <c r="A1503" t="s">
        <v>1531</v>
      </c>
      <c r="B1503" t="s">
        <v>32</v>
      </c>
      <c r="C1503">
        <v>9</v>
      </c>
      <c r="D1503">
        <v>9</v>
      </c>
      <c r="E1503">
        <v>1006.66</v>
      </c>
      <c r="F1503">
        <v>3.78</v>
      </c>
      <c r="G1503">
        <v>88.9</v>
      </c>
    </row>
    <row r="1504" spans="1:7" ht="14" x14ac:dyDescent="0.3">
      <c r="A1504" t="s">
        <v>1532</v>
      </c>
      <c r="B1504" t="s">
        <v>8</v>
      </c>
      <c r="C1504">
        <v>9</v>
      </c>
      <c r="D1504">
        <v>9</v>
      </c>
      <c r="E1504">
        <v>1004</v>
      </c>
      <c r="F1504">
        <v>4.78</v>
      </c>
      <c r="G1504">
        <v>100</v>
      </c>
    </row>
    <row r="1505" spans="1:7" ht="14" x14ac:dyDescent="0.3">
      <c r="A1505" t="s">
        <v>1533</v>
      </c>
      <c r="B1505" t="s">
        <v>8</v>
      </c>
      <c r="C1505">
        <v>5</v>
      </c>
      <c r="D1505">
        <v>5</v>
      </c>
      <c r="E1505">
        <v>1002.9</v>
      </c>
      <c r="F1505">
        <v>4</v>
      </c>
      <c r="G1505">
        <v>80</v>
      </c>
    </row>
    <row r="1506" spans="1:7" ht="14" x14ac:dyDescent="0.3">
      <c r="A1506" t="s">
        <v>1534</v>
      </c>
      <c r="B1506" t="s">
        <v>8</v>
      </c>
      <c r="C1506">
        <v>10</v>
      </c>
      <c r="D1506">
        <v>15</v>
      </c>
      <c r="E1506">
        <v>1001.32</v>
      </c>
      <c r="F1506">
        <v>2.6</v>
      </c>
      <c r="G1506">
        <v>93.3</v>
      </c>
    </row>
    <row r="1507" spans="1:7" ht="14" x14ac:dyDescent="0.3">
      <c r="A1507" t="s">
        <v>1535</v>
      </c>
      <c r="B1507" t="s">
        <v>8</v>
      </c>
      <c r="C1507">
        <v>17</v>
      </c>
      <c r="D1507">
        <v>17</v>
      </c>
      <c r="E1507">
        <v>998.61</v>
      </c>
      <c r="F1507">
        <v>4.82</v>
      </c>
      <c r="G1507">
        <v>100</v>
      </c>
    </row>
    <row r="1508" spans="1:7" ht="14" x14ac:dyDescent="0.3">
      <c r="A1508" t="s">
        <v>1536</v>
      </c>
      <c r="B1508" t="s">
        <v>8</v>
      </c>
      <c r="C1508">
        <v>8</v>
      </c>
      <c r="D1508">
        <v>8</v>
      </c>
      <c r="E1508">
        <v>997.14</v>
      </c>
      <c r="F1508">
        <v>4.63</v>
      </c>
      <c r="G1508">
        <v>100</v>
      </c>
    </row>
    <row r="1509" spans="1:7" ht="14" x14ac:dyDescent="0.3">
      <c r="A1509" t="s">
        <v>1537</v>
      </c>
      <c r="B1509" t="s">
        <v>8</v>
      </c>
      <c r="C1509">
        <v>4</v>
      </c>
      <c r="D1509">
        <v>4</v>
      </c>
      <c r="E1509">
        <v>996.84</v>
      </c>
      <c r="F1509">
        <v>4.75</v>
      </c>
      <c r="G1509">
        <v>100</v>
      </c>
    </row>
    <row r="1510" spans="1:7" ht="14" x14ac:dyDescent="0.3">
      <c r="A1510" t="s">
        <v>1538</v>
      </c>
      <c r="B1510" t="s">
        <v>8</v>
      </c>
      <c r="C1510">
        <v>8</v>
      </c>
      <c r="D1510">
        <v>8</v>
      </c>
      <c r="E1510">
        <v>990.88</v>
      </c>
      <c r="F1510">
        <v>4.63</v>
      </c>
      <c r="G1510">
        <v>100</v>
      </c>
    </row>
    <row r="1511" spans="1:7" ht="14" x14ac:dyDescent="0.3">
      <c r="A1511" t="s">
        <v>1539</v>
      </c>
      <c r="B1511" t="s">
        <v>8</v>
      </c>
      <c r="C1511">
        <v>4</v>
      </c>
      <c r="D1511">
        <v>11</v>
      </c>
      <c r="E1511">
        <v>988.1</v>
      </c>
      <c r="F1511">
        <v>2.82</v>
      </c>
      <c r="G1511">
        <v>100</v>
      </c>
    </row>
    <row r="1512" spans="1:7" ht="14" x14ac:dyDescent="0.3">
      <c r="A1512" t="s">
        <v>1540</v>
      </c>
      <c r="B1512" t="s">
        <v>8</v>
      </c>
      <c r="C1512">
        <v>2</v>
      </c>
      <c r="D1512">
        <v>2</v>
      </c>
      <c r="E1512">
        <v>987.02</v>
      </c>
      <c r="F1512">
        <v>5</v>
      </c>
      <c r="G1512">
        <v>100</v>
      </c>
    </row>
    <row r="1513" spans="1:7" ht="14" x14ac:dyDescent="0.3">
      <c r="A1513" t="s">
        <v>1541</v>
      </c>
      <c r="B1513" t="s">
        <v>8</v>
      </c>
      <c r="C1513">
        <v>11</v>
      </c>
      <c r="D1513">
        <v>13</v>
      </c>
      <c r="E1513">
        <v>986.39</v>
      </c>
      <c r="F1513">
        <v>3.15</v>
      </c>
      <c r="G1513">
        <v>84.6</v>
      </c>
    </row>
    <row r="1514" spans="1:7" ht="14" x14ac:dyDescent="0.3">
      <c r="A1514" t="s">
        <v>1542</v>
      </c>
      <c r="B1514" t="s">
        <v>32</v>
      </c>
      <c r="C1514">
        <v>11</v>
      </c>
      <c r="D1514">
        <v>11</v>
      </c>
      <c r="E1514">
        <v>985.04</v>
      </c>
      <c r="F1514">
        <v>4.3600000000000003</v>
      </c>
      <c r="G1514">
        <v>100</v>
      </c>
    </row>
    <row r="1515" spans="1:7" ht="14" x14ac:dyDescent="0.3">
      <c r="A1515" t="s">
        <v>1543</v>
      </c>
      <c r="B1515" t="s">
        <v>8</v>
      </c>
      <c r="C1515">
        <v>1</v>
      </c>
      <c r="D1515">
        <v>1</v>
      </c>
      <c r="E1515">
        <v>984.81</v>
      </c>
      <c r="F1515">
        <v>5</v>
      </c>
      <c r="G1515">
        <v>100</v>
      </c>
    </row>
    <row r="1516" spans="1:7" ht="14" x14ac:dyDescent="0.3">
      <c r="A1516" t="s">
        <v>1544</v>
      </c>
      <c r="B1516" t="s">
        <v>22</v>
      </c>
      <c r="C1516">
        <v>12</v>
      </c>
      <c r="D1516">
        <v>13</v>
      </c>
      <c r="E1516">
        <v>984.58</v>
      </c>
      <c r="F1516">
        <v>4.7699999999999996</v>
      </c>
      <c r="G1516">
        <v>100</v>
      </c>
    </row>
    <row r="1517" spans="1:7" ht="14" x14ac:dyDescent="0.3">
      <c r="A1517" t="s">
        <v>1545</v>
      </c>
      <c r="B1517" t="s">
        <v>309</v>
      </c>
      <c r="C1517">
        <v>11</v>
      </c>
      <c r="D1517">
        <v>11</v>
      </c>
      <c r="E1517">
        <v>984.21</v>
      </c>
      <c r="F1517">
        <v>3.82</v>
      </c>
      <c r="G1517">
        <v>81.8</v>
      </c>
    </row>
    <row r="1518" spans="1:7" ht="14" x14ac:dyDescent="0.3">
      <c r="A1518" t="s">
        <v>1546</v>
      </c>
      <c r="B1518" t="s">
        <v>8</v>
      </c>
      <c r="C1518">
        <v>20</v>
      </c>
      <c r="D1518">
        <v>20</v>
      </c>
      <c r="E1518">
        <v>981.54</v>
      </c>
      <c r="F1518">
        <v>4.5999999999999996</v>
      </c>
      <c r="G1518">
        <v>95</v>
      </c>
    </row>
    <row r="1519" spans="1:7" ht="14" x14ac:dyDescent="0.3">
      <c r="A1519" t="s">
        <v>1547</v>
      </c>
      <c r="B1519" t="s">
        <v>32</v>
      </c>
      <c r="C1519">
        <v>4</v>
      </c>
      <c r="D1519">
        <v>4</v>
      </c>
      <c r="E1519">
        <v>980.45</v>
      </c>
      <c r="F1519">
        <v>4.25</v>
      </c>
      <c r="G1519">
        <v>100</v>
      </c>
    </row>
    <row r="1520" spans="1:7" ht="14" x14ac:dyDescent="0.3">
      <c r="A1520" t="s">
        <v>1548</v>
      </c>
      <c r="B1520" t="s">
        <v>22</v>
      </c>
      <c r="C1520">
        <v>4</v>
      </c>
      <c r="D1520">
        <v>4</v>
      </c>
      <c r="E1520">
        <v>978.43</v>
      </c>
      <c r="F1520">
        <v>3.75</v>
      </c>
      <c r="G1520">
        <v>75</v>
      </c>
    </row>
    <row r="1521" spans="1:7" ht="14" x14ac:dyDescent="0.3">
      <c r="A1521" t="s">
        <v>1549</v>
      </c>
      <c r="B1521" t="s">
        <v>32</v>
      </c>
      <c r="C1521">
        <v>8</v>
      </c>
      <c r="D1521">
        <v>8</v>
      </c>
      <c r="E1521">
        <v>976.73</v>
      </c>
      <c r="F1521">
        <v>5</v>
      </c>
      <c r="G1521">
        <v>100</v>
      </c>
    </row>
    <row r="1522" spans="1:7" ht="14" x14ac:dyDescent="0.3">
      <c r="A1522" t="s">
        <v>1550</v>
      </c>
      <c r="B1522" t="s">
        <v>8</v>
      </c>
      <c r="C1522">
        <v>9</v>
      </c>
      <c r="D1522">
        <v>10</v>
      </c>
      <c r="E1522">
        <v>974.3</v>
      </c>
      <c r="F1522">
        <v>4.7</v>
      </c>
      <c r="G1522">
        <v>100</v>
      </c>
    </row>
    <row r="1523" spans="1:7" ht="14" x14ac:dyDescent="0.3">
      <c r="A1523" t="s">
        <v>1551</v>
      </c>
      <c r="B1523" t="s">
        <v>32</v>
      </c>
      <c r="C1523">
        <v>6</v>
      </c>
      <c r="D1523">
        <v>10</v>
      </c>
      <c r="E1523">
        <v>973.71</v>
      </c>
      <c r="F1523">
        <v>4.8</v>
      </c>
      <c r="G1523">
        <v>100</v>
      </c>
    </row>
    <row r="1524" spans="1:7" ht="14" x14ac:dyDescent="0.3">
      <c r="A1524" t="s">
        <v>1552</v>
      </c>
      <c r="B1524" t="s">
        <v>101</v>
      </c>
      <c r="C1524">
        <v>5</v>
      </c>
      <c r="D1524">
        <v>5</v>
      </c>
      <c r="E1524">
        <v>972.65</v>
      </c>
      <c r="F1524">
        <v>4.4000000000000004</v>
      </c>
      <c r="G1524">
        <v>100</v>
      </c>
    </row>
    <row r="1525" spans="1:7" ht="14" x14ac:dyDescent="0.3">
      <c r="A1525" t="s">
        <v>1553</v>
      </c>
      <c r="B1525" t="s">
        <v>548</v>
      </c>
      <c r="C1525">
        <v>20</v>
      </c>
      <c r="D1525">
        <v>23</v>
      </c>
      <c r="E1525">
        <v>971.92</v>
      </c>
      <c r="F1525">
        <v>4.96</v>
      </c>
      <c r="G1525">
        <v>100</v>
      </c>
    </row>
    <row r="1526" spans="1:7" ht="14" x14ac:dyDescent="0.3">
      <c r="A1526" t="s">
        <v>1554</v>
      </c>
      <c r="B1526" t="s">
        <v>87</v>
      </c>
      <c r="C1526">
        <v>2</v>
      </c>
      <c r="D1526">
        <v>2</v>
      </c>
      <c r="E1526">
        <v>971.28</v>
      </c>
      <c r="F1526">
        <v>4.5</v>
      </c>
      <c r="G1526">
        <v>100</v>
      </c>
    </row>
    <row r="1527" spans="1:7" ht="14" x14ac:dyDescent="0.3">
      <c r="A1527" t="s">
        <v>1555</v>
      </c>
      <c r="B1527" t="s">
        <v>22</v>
      </c>
      <c r="C1527">
        <v>14</v>
      </c>
      <c r="D1527">
        <v>14</v>
      </c>
      <c r="E1527">
        <v>971.01</v>
      </c>
      <c r="F1527">
        <v>4</v>
      </c>
      <c r="G1527">
        <v>92.9</v>
      </c>
    </row>
    <row r="1528" spans="1:7" ht="14" x14ac:dyDescent="0.3">
      <c r="A1528" t="s">
        <v>1556</v>
      </c>
      <c r="B1528" t="s">
        <v>152</v>
      </c>
      <c r="C1528">
        <v>8</v>
      </c>
      <c r="D1528">
        <v>9</v>
      </c>
      <c r="E1528">
        <v>969.94</v>
      </c>
      <c r="F1528">
        <v>2.89</v>
      </c>
      <c r="G1528">
        <v>66.7</v>
      </c>
    </row>
    <row r="1529" spans="1:7" ht="14" x14ac:dyDescent="0.3">
      <c r="A1529" t="s">
        <v>1557</v>
      </c>
      <c r="B1529" t="s">
        <v>24</v>
      </c>
      <c r="C1529">
        <v>3</v>
      </c>
      <c r="D1529">
        <v>3</v>
      </c>
      <c r="E1529">
        <v>968.14</v>
      </c>
      <c r="F1529">
        <v>4.33</v>
      </c>
      <c r="G1529">
        <v>100</v>
      </c>
    </row>
    <row r="1530" spans="1:7" ht="14" x14ac:dyDescent="0.3">
      <c r="A1530" t="s">
        <v>1558</v>
      </c>
      <c r="B1530" t="s">
        <v>24</v>
      </c>
      <c r="C1530">
        <v>13</v>
      </c>
      <c r="D1530">
        <v>13</v>
      </c>
      <c r="E1530">
        <v>966.25</v>
      </c>
      <c r="F1530">
        <v>4.54</v>
      </c>
      <c r="G1530">
        <v>92.3</v>
      </c>
    </row>
    <row r="1531" spans="1:7" ht="14" x14ac:dyDescent="0.3">
      <c r="A1531" t="s">
        <v>1559</v>
      </c>
      <c r="B1531" t="s">
        <v>152</v>
      </c>
      <c r="C1531">
        <v>8</v>
      </c>
      <c r="D1531">
        <v>14</v>
      </c>
      <c r="E1531">
        <v>965.99</v>
      </c>
      <c r="F1531">
        <v>4.71</v>
      </c>
      <c r="G1531">
        <v>85.7</v>
      </c>
    </row>
    <row r="1532" spans="1:7" ht="14" x14ac:dyDescent="0.3">
      <c r="A1532" t="s">
        <v>1560</v>
      </c>
      <c r="B1532" t="s">
        <v>241</v>
      </c>
      <c r="C1532">
        <v>8</v>
      </c>
      <c r="D1532">
        <v>9</v>
      </c>
      <c r="E1532">
        <v>964.99</v>
      </c>
      <c r="F1532">
        <v>4.22</v>
      </c>
      <c r="G1532">
        <v>100</v>
      </c>
    </row>
    <row r="1533" spans="1:7" ht="14" x14ac:dyDescent="0.3">
      <c r="A1533" t="s">
        <v>1561</v>
      </c>
      <c r="B1533" t="s">
        <v>22</v>
      </c>
      <c r="C1533">
        <v>10</v>
      </c>
      <c r="D1533">
        <v>11</v>
      </c>
      <c r="E1533">
        <v>964.2</v>
      </c>
      <c r="F1533">
        <v>4.3600000000000003</v>
      </c>
      <c r="G1533">
        <v>100</v>
      </c>
    </row>
    <row r="1534" spans="1:7" ht="14" x14ac:dyDescent="0.3">
      <c r="A1534" t="s">
        <v>1562</v>
      </c>
      <c r="B1534" t="s">
        <v>8</v>
      </c>
      <c r="C1534">
        <v>10</v>
      </c>
      <c r="D1534">
        <v>11</v>
      </c>
      <c r="E1534">
        <v>964.08</v>
      </c>
      <c r="F1534">
        <v>4.6399999999999997</v>
      </c>
      <c r="G1534">
        <v>90.9</v>
      </c>
    </row>
    <row r="1535" spans="1:7" ht="14" x14ac:dyDescent="0.3">
      <c r="A1535" t="s">
        <v>1563</v>
      </c>
      <c r="B1535" t="s">
        <v>8</v>
      </c>
      <c r="C1535">
        <v>15</v>
      </c>
      <c r="D1535">
        <v>15</v>
      </c>
      <c r="E1535">
        <v>963.06</v>
      </c>
      <c r="F1535">
        <v>3.5</v>
      </c>
      <c r="G1535">
        <v>93.3</v>
      </c>
    </row>
    <row r="1536" spans="1:7" ht="14" x14ac:dyDescent="0.3">
      <c r="A1536" t="s">
        <v>1564</v>
      </c>
      <c r="B1536" t="s">
        <v>8</v>
      </c>
      <c r="C1536">
        <v>15</v>
      </c>
      <c r="D1536">
        <v>15</v>
      </c>
      <c r="E1536">
        <v>959.35</v>
      </c>
      <c r="F1536">
        <v>4.2699999999999996</v>
      </c>
      <c r="G1536">
        <v>100</v>
      </c>
    </row>
    <row r="1537" spans="1:7" ht="14" x14ac:dyDescent="0.3">
      <c r="A1537" t="s">
        <v>1565</v>
      </c>
      <c r="B1537" t="s">
        <v>8</v>
      </c>
      <c r="C1537">
        <v>8</v>
      </c>
      <c r="D1537">
        <v>9</v>
      </c>
      <c r="E1537">
        <v>957.26</v>
      </c>
      <c r="F1537">
        <v>3.56</v>
      </c>
      <c r="G1537">
        <v>100</v>
      </c>
    </row>
    <row r="1538" spans="1:7" ht="14" x14ac:dyDescent="0.3">
      <c r="A1538" t="s">
        <v>1566</v>
      </c>
      <c r="B1538" t="s">
        <v>8</v>
      </c>
      <c r="C1538">
        <v>3</v>
      </c>
      <c r="D1538">
        <v>3</v>
      </c>
      <c r="E1538">
        <v>951.98</v>
      </c>
      <c r="F1538">
        <v>3.67</v>
      </c>
      <c r="G1538">
        <v>33.299999999999997</v>
      </c>
    </row>
    <row r="1539" spans="1:7" ht="14" x14ac:dyDescent="0.3">
      <c r="A1539" t="s">
        <v>1567</v>
      </c>
      <c r="B1539" t="s">
        <v>32</v>
      </c>
      <c r="C1539">
        <v>5</v>
      </c>
      <c r="D1539">
        <v>8</v>
      </c>
      <c r="E1539">
        <v>949.73</v>
      </c>
      <c r="F1539">
        <v>2.63</v>
      </c>
      <c r="G1539">
        <v>87.5</v>
      </c>
    </row>
    <row r="1540" spans="1:7" ht="14" x14ac:dyDescent="0.3">
      <c r="A1540" t="s">
        <v>1568</v>
      </c>
      <c r="B1540" t="s">
        <v>24</v>
      </c>
      <c r="C1540">
        <v>1</v>
      </c>
      <c r="D1540">
        <v>1</v>
      </c>
      <c r="E1540">
        <v>949.62</v>
      </c>
      <c r="F1540">
        <v>5</v>
      </c>
      <c r="G1540">
        <v>100</v>
      </c>
    </row>
    <row r="1541" spans="1:7" ht="14" x14ac:dyDescent="0.3">
      <c r="A1541" t="s">
        <v>1569</v>
      </c>
      <c r="B1541" t="s">
        <v>8</v>
      </c>
      <c r="C1541">
        <v>8</v>
      </c>
      <c r="D1541">
        <v>8</v>
      </c>
      <c r="E1541">
        <v>948.53</v>
      </c>
      <c r="F1541">
        <v>3.88</v>
      </c>
      <c r="G1541">
        <v>100</v>
      </c>
    </row>
    <row r="1542" spans="1:7" ht="14" x14ac:dyDescent="0.3">
      <c r="A1542" t="s">
        <v>1570</v>
      </c>
      <c r="B1542" t="s">
        <v>42</v>
      </c>
      <c r="C1542">
        <v>12</v>
      </c>
      <c r="D1542">
        <v>13</v>
      </c>
      <c r="E1542">
        <v>946.43</v>
      </c>
      <c r="F1542">
        <v>4.3099999999999996</v>
      </c>
      <c r="G1542">
        <v>100</v>
      </c>
    </row>
    <row r="1543" spans="1:7" ht="14" x14ac:dyDescent="0.3">
      <c r="A1543" t="s">
        <v>1571</v>
      </c>
      <c r="B1543" t="s">
        <v>32</v>
      </c>
      <c r="C1543">
        <v>6</v>
      </c>
      <c r="D1543">
        <v>6</v>
      </c>
      <c r="E1543">
        <v>946.26</v>
      </c>
      <c r="F1543">
        <v>3.17</v>
      </c>
      <c r="G1543">
        <v>66.7</v>
      </c>
    </row>
    <row r="1544" spans="1:7" ht="14" x14ac:dyDescent="0.3">
      <c r="A1544" t="s">
        <v>1572</v>
      </c>
      <c r="B1544" t="s">
        <v>8</v>
      </c>
      <c r="C1544">
        <v>9</v>
      </c>
      <c r="D1544">
        <v>9</v>
      </c>
      <c r="E1544">
        <v>941.21</v>
      </c>
      <c r="F1544">
        <v>4.22</v>
      </c>
      <c r="G1544">
        <v>100</v>
      </c>
    </row>
    <row r="1545" spans="1:7" ht="14" x14ac:dyDescent="0.3">
      <c r="A1545" t="s">
        <v>1573</v>
      </c>
      <c r="B1545" t="s">
        <v>8</v>
      </c>
      <c r="C1545">
        <v>2</v>
      </c>
      <c r="D1545">
        <v>2</v>
      </c>
      <c r="E1545">
        <v>937.71</v>
      </c>
      <c r="F1545">
        <v>4.5</v>
      </c>
      <c r="G1545">
        <v>100</v>
      </c>
    </row>
    <row r="1546" spans="1:7" ht="14" x14ac:dyDescent="0.3">
      <c r="A1546" t="s">
        <v>1574</v>
      </c>
      <c r="B1546" t="s">
        <v>24</v>
      </c>
      <c r="C1546">
        <v>5</v>
      </c>
      <c r="D1546">
        <v>5</v>
      </c>
      <c r="E1546">
        <v>936.67</v>
      </c>
      <c r="F1546">
        <v>4.4000000000000004</v>
      </c>
      <c r="G1546">
        <v>100</v>
      </c>
    </row>
    <row r="1547" spans="1:7" ht="14" x14ac:dyDescent="0.3">
      <c r="A1547" t="s">
        <v>1575</v>
      </c>
      <c r="B1547" t="s">
        <v>8</v>
      </c>
      <c r="C1547">
        <v>7</v>
      </c>
      <c r="D1547">
        <v>7</v>
      </c>
      <c r="E1547">
        <v>935.19</v>
      </c>
      <c r="F1547">
        <v>4.1399999999999997</v>
      </c>
      <c r="G1547">
        <v>85.7</v>
      </c>
    </row>
    <row r="1548" spans="1:7" ht="14" x14ac:dyDescent="0.3">
      <c r="A1548" t="s">
        <v>1576</v>
      </c>
      <c r="B1548" t="s">
        <v>87</v>
      </c>
      <c r="C1548">
        <v>5</v>
      </c>
      <c r="D1548">
        <v>6</v>
      </c>
      <c r="E1548">
        <v>933.93</v>
      </c>
      <c r="F1548">
        <v>4.83</v>
      </c>
      <c r="G1548">
        <v>100</v>
      </c>
    </row>
    <row r="1549" spans="1:7" ht="14" x14ac:dyDescent="0.3">
      <c r="A1549" t="s">
        <v>1577</v>
      </c>
      <c r="B1549" t="s">
        <v>8</v>
      </c>
      <c r="C1549">
        <v>22</v>
      </c>
      <c r="D1549">
        <v>24</v>
      </c>
      <c r="E1549">
        <v>932.91</v>
      </c>
      <c r="F1549">
        <v>4.5</v>
      </c>
      <c r="G1549">
        <v>95.8</v>
      </c>
    </row>
    <row r="1550" spans="1:7" ht="14" x14ac:dyDescent="0.3">
      <c r="A1550" t="s">
        <v>1578</v>
      </c>
      <c r="B1550" t="s">
        <v>8</v>
      </c>
      <c r="C1550">
        <v>14</v>
      </c>
      <c r="D1550">
        <v>14</v>
      </c>
      <c r="E1550">
        <v>932.67</v>
      </c>
      <c r="F1550">
        <v>4.6399999999999997</v>
      </c>
      <c r="G1550">
        <v>92.9</v>
      </c>
    </row>
    <row r="1551" spans="1:7" ht="14" x14ac:dyDescent="0.3">
      <c r="A1551" s="1" t="s">
        <v>1579</v>
      </c>
      <c r="B1551" t="s">
        <v>8</v>
      </c>
      <c r="C1551">
        <v>13</v>
      </c>
      <c r="D1551">
        <v>13</v>
      </c>
      <c r="E1551">
        <v>932.36</v>
      </c>
      <c r="F1551">
        <v>4.46</v>
      </c>
      <c r="G1551">
        <v>92.3</v>
      </c>
    </row>
    <row r="1552" spans="1:7" ht="14" x14ac:dyDescent="0.3">
      <c r="A1552" t="s">
        <v>1580</v>
      </c>
      <c r="B1552" t="s">
        <v>8</v>
      </c>
      <c r="C1552">
        <v>6</v>
      </c>
      <c r="D1552">
        <v>6</v>
      </c>
      <c r="E1552">
        <v>931.57</v>
      </c>
      <c r="F1552">
        <v>4.33</v>
      </c>
      <c r="G1552">
        <v>83.3</v>
      </c>
    </row>
    <row r="1553" spans="1:7" ht="14" x14ac:dyDescent="0.3">
      <c r="A1553" t="s">
        <v>1581</v>
      </c>
      <c r="B1553" t="s">
        <v>8</v>
      </c>
      <c r="C1553">
        <v>7</v>
      </c>
      <c r="D1553">
        <v>8</v>
      </c>
      <c r="E1553">
        <v>931.22</v>
      </c>
      <c r="F1553">
        <v>4.13</v>
      </c>
      <c r="G1553">
        <v>100</v>
      </c>
    </row>
    <row r="1554" spans="1:7" ht="14" x14ac:dyDescent="0.3">
      <c r="A1554" t="s">
        <v>1582</v>
      </c>
      <c r="B1554" t="s">
        <v>24</v>
      </c>
      <c r="C1554">
        <v>3</v>
      </c>
      <c r="D1554">
        <v>3</v>
      </c>
      <c r="E1554">
        <v>930.17</v>
      </c>
      <c r="F1554">
        <v>3.67</v>
      </c>
      <c r="G1554">
        <v>100</v>
      </c>
    </row>
    <row r="1555" spans="1:7" ht="14" x14ac:dyDescent="0.3">
      <c r="A1555" t="s">
        <v>1583</v>
      </c>
      <c r="B1555" t="s">
        <v>8</v>
      </c>
      <c r="C1555">
        <v>7</v>
      </c>
      <c r="D1555">
        <v>9</v>
      </c>
      <c r="E1555">
        <v>930.03</v>
      </c>
      <c r="F1555">
        <v>4</v>
      </c>
      <c r="G1555">
        <v>100</v>
      </c>
    </row>
    <row r="1556" spans="1:7" ht="14" x14ac:dyDescent="0.3">
      <c r="A1556" t="s">
        <v>1584</v>
      </c>
      <c r="B1556" t="s">
        <v>8</v>
      </c>
      <c r="C1556">
        <v>1</v>
      </c>
      <c r="D1556">
        <v>1</v>
      </c>
      <c r="E1556">
        <v>928.7</v>
      </c>
      <c r="F1556">
        <v>5</v>
      </c>
      <c r="G1556">
        <v>100</v>
      </c>
    </row>
    <row r="1557" spans="1:7" ht="14" x14ac:dyDescent="0.3">
      <c r="A1557" t="s">
        <v>1585</v>
      </c>
      <c r="B1557" t="s">
        <v>8</v>
      </c>
      <c r="C1557">
        <v>5</v>
      </c>
      <c r="D1557">
        <v>5</v>
      </c>
      <c r="E1557">
        <v>927.83</v>
      </c>
      <c r="F1557">
        <v>3.6</v>
      </c>
      <c r="G1557">
        <v>100</v>
      </c>
    </row>
    <row r="1558" spans="1:7" ht="14" x14ac:dyDescent="0.3">
      <c r="A1558" s="1" t="s">
        <v>1586</v>
      </c>
      <c r="B1558" t="s">
        <v>22</v>
      </c>
      <c r="C1558">
        <v>1</v>
      </c>
      <c r="D1558">
        <v>1</v>
      </c>
      <c r="E1558">
        <v>927.82</v>
      </c>
      <c r="F1558">
        <v>5</v>
      </c>
      <c r="G1558">
        <v>100</v>
      </c>
    </row>
    <row r="1559" spans="1:7" ht="14" x14ac:dyDescent="0.3">
      <c r="A1559" t="s">
        <v>1587</v>
      </c>
      <c r="B1559" t="s">
        <v>87</v>
      </c>
      <c r="C1559">
        <v>5</v>
      </c>
      <c r="D1559">
        <v>9</v>
      </c>
      <c r="E1559">
        <v>927.05</v>
      </c>
      <c r="F1559">
        <v>4.78</v>
      </c>
      <c r="G1559">
        <v>100</v>
      </c>
    </row>
    <row r="1560" spans="1:7" ht="14" x14ac:dyDescent="0.3">
      <c r="A1560" t="s">
        <v>1588</v>
      </c>
      <c r="B1560" t="s">
        <v>8</v>
      </c>
      <c r="C1560">
        <v>5</v>
      </c>
      <c r="D1560">
        <v>5</v>
      </c>
      <c r="E1560">
        <v>926.72</v>
      </c>
      <c r="F1560">
        <v>5</v>
      </c>
      <c r="G1560">
        <v>100</v>
      </c>
    </row>
    <row r="1561" spans="1:7" ht="14" x14ac:dyDescent="0.3">
      <c r="A1561" t="s">
        <v>1589</v>
      </c>
      <c r="B1561" t="s">
        <v>8</v>
      </c>
      <c r="C1561">
        <v>6</v>
      </c>
      <c r="D1561">
        <v>6</v>
      </c>
      <c r="E1561">
        <v>923.05</v>
      </c>
      <c r="F1561">
        <v>4.33</v>
      </c>
      <c r="G1561">
        <v>83.3</v>
      </c>
    </row>
    <row r="1562" spans="1:7" ht="14" x14ac:dyDescent="0.3">
      <c r="A1562" t="s">
        <v>1590</v>
      </c>
      <c r="B1562" t="s">
        <v>8</v>
      </c>
      <c r="C1562">
        <v>1</v>
      </c>
      <c r="D1562">
        <v>1</v>
      </c>
      <c r="E1562">
        <v>922.84</v>
      </c>
      <c r="F1562">
        <v>4</v>
      </c>
      <c r="G1562">
        <v>100</v>
      </c>
    </row>
    <row r="1563" spans="1:7" ht="14" x14ac:dyDescent="0.3">
      <c r="A1563" t="s">
        <v>1591</v>
      </c>
      <c r="B1563" t="s">
        <v>8</v>
      </c>
      <c r="C1563">
        <v>7</v>
      </c>
      <c r="D1563">
        <v>8</v>
      </c>
      <c r="E1563">
        <v>921.8</v>
      </c>
      <c r="F1563">
        <v>3.38</v>
      </c>
      <c r="G1563">
        <v>87.5</v>
      </c>
    </row>
    <row r="1564" spans="1:7" ht="14" x14ac:dyDescent="0.3">
      <c r="A1564" t="s">
        <v>1592</v>
      </c>
      <c r="B1564" t="s">
        <v>8</v>
      </c>
      <c r="C1564">
        <v>4</v>
      </c>
      <c r="D1564">
        <v>5</v>
      </c>
      <c r="E1564">
        <v>921.49</v>
      </c>
      <c r="F1564">
        <v>3.4</v>
      </c>
      <c r="G1564">
        <v>60</v>
      </c>
    </row>
    <row r="1565" spans="1:7" ht="14" x14ac:dyDescent="0.3">
      <c r="A1565" t="s">
        <v>1593</v>
      </c>
      <c r="B1565" t="s">
        <v>8</v>
      </c>
      <c r="C1565">
        <v>1</v>
      </c>
      <c r="D1565">
        <v>6</v>
      </c>
      <c r="E1565">
        <v>921.24</v>
      </c>
      <c r="F1565">
        <v>5</v>
      </c>
      <c r="G1565">
        <v>100</v>
      </c>
    </row>
    <row r="1566" spans="1:7" ht="14" x14ac:dyDescent="0.3">
      <c r="A1566" t="s">
        <v>1594</v>
      </c>
      <c r="B1566" t="s">
        <v>8</v>
      </c>
      <c r="C1566">
        <v>2</v>
      </c>
      <c r="D1566">
        <v>8</v>
      </c>
      <c r="E1566">
        <v>918.4</v>
      </c>
      <c r="F1566">
        <v>4.75</v>
      </c>
      <c r="G1566">
        <v>100</v>
      </c>
    </row>
    <row r="1567" spans="1:7" ht="14" x14ac:dyDescent="0.3">
      <c r="A1567" t="s">
        <v>1595</v>
      </c>
      <c r="B1567" t="s">
        <v>8</v>
      </c>
      <c r="C1567">
        <v>8</v>
      </c>
      <c r="D1567">
        <v>9</v>
      </c>
      <c r="E1567">
        <v>916.23</v>
      </c>
      <c r="F1567">
        <v>4.67</v>
      </c>
      <c r="G1567">
        <v>100</v>
      </c>
    </row>
    <row r="1568" spans="1:7" ht="14" x14ac:dyDescent="0.3">
      <c r="A1568" t="s">
        <v>1596</v>
      </c>
      <c r="B1568" t="s">
        <v>22</v>
      </c>
      <c r="C1568">
        <v>8</v>
      </c>
      <c r="D1568">
        <v>8</v>
      </c>
      <c r="E1568">
        <v>913.71</v>
      </c>
      <c r="F1568">
        <v>4.25</v>
      </c>
      <c r="G1568">
        <v>87.5</v>
      </c>
    </row>
    <row r="1569" spans="1:7" ht="14" x14ac:dyDescent="0.3">
      <c r="A1569" t="s">
        <v>1597</v>
      </c>
      <c r="B1569" t="s">
        <v>8</v>
      </c>
      <c r="C1569">
        <v>9</v>
      </c>
      <c r="D1569">
        <v>9</v>
      </c>
      <c r="E1569">
        <v>910.88</v>
      </c>
      <c r="F1569">
        <v>4.4400000000000004</v>
      </c>
      <c r="G1569">
        <v>88.9</v>
      </c>
    </row>
    <row r="1570" spans="1:7" ht="14" x14ac:dyDescent="0.3">
      <c r="A1570" t="s">
        <v>1598</v>
      </c>
      <c r="B1570" t="s">
        <v>22</v>
      </c>
      <c r="C1570">
        <v>3</v>
      </c>
      <c r="D1570">
        <v>3</v>
      </c>
      <c r="E1570">
        <v>910.83</v>
      </c>
      <c r="F1570">
        <v>3.67</v>
      </c>
      <c r="G1570">
        <v>66.7</v>
      </c>
    </row>
    <row r="1571" spans="1:7" ht="14" x14ac:dyDescent="0.3">
      <c r="A1571" t="s">
        <v>1599</v>
      </c>
      <c r="B1571" t="s">
        <v>8</v>
      </c>
      <c r="C1571">
        <v>7</v>
      </c>
      <c r="D1571">
        <v>14</v>
      </c>
      <c r="E1571">
        <v>909.62</v>
      </c>
      <c r="F1571">
        <v>4.21</v>
      </c>
      <c r="G1571">
        <v>100</v>
      </c>
    </row>
    <row r="1572" spans="1:7" ht="14" x14ac:dyDescent="0.3">
      <c r="A1572" t="s">
        <v>1600</v>
      </c>
      <c r="B1572" t="s">
        <v>42</v>
      </c>
      <c r="C1572">
        <v>4</v>
      </c>
      <c r="D1572">
        <v>4</v>
      </c>
      <c r="E1572">
        <v>908.64</v>
      </c>
      <c r="F1572">
        <v>4.5</v>
      </c>
      <c r="G1572">
        <v>100</v>
      </c>
    </row>
    <row r="1573" spans="1:7" ht="14" x14ac:dyDescent="0.3">
      <c r="A1573" t="s">
        <v>1601</v>
      </c>
      <c r="B1573" t="s">
        <v>22</v>
      </c>
      <c r="C1573">
        <v>7</v>
      </c>
      <c r="D1573">
        <v>8</v>
      </c>
      <c r="E1573">
        <v>908.17</v>
      </c>
      <c r="F1573">
        <v>4</v>
      </c>
      <c r="G1573">
        <v>75</v>
      </c>
    </row>
    <row r="1574" spans="1:7" ht="14" x14ac:dyDescent="0.3">
      <c r="A1574" t="s">
        <v>1602</v>
      </c>
      <c r="B1574" t="s">
        <v>8</v>
      </c>
      <c r="C1574">
        <v>9</v>
      </c>
      <c r="D1574">
        <v>9</v>
      </c>
      <c r="E1574">
        <v>907.86</v>
      </c>
      <c r="F1574">
        <v>3.22</v>
      </c>
      <c r="G1574">
        <v>100</v>
      </c>
    </row>
    <row r="1575" spans="1:7" ht="14" x14ac:dyDescent="0.3">
      <c r="A1575" t="s">
        <v>1603</v>
      </c>
      <c r="B1575" t="s">
        <v>32</v>
      </c>
      <c r="C1575">
        <v>1</v>
      </c>
      <c r="D1575">
        <v>3</v>
      </c>
      <c r="E1575">
        <v>905.85</v>
      </c>
      <c r="F1575">
        <v>5</v>
      </c>
      <c r="G1575">
        <v>100</v>
      </c>
    </row>
    <row r="1576" spans="1:7" ht="14" x14ac:dyDescent="0.3">
      <c r="A1576" t="s">
        <v>1604</v>
      </c>
      <c r="B1576" t="s">
        <v>24</v>
      </c>
      <c r="C1576">
        <v>4</v>
      </c>
      <c r="D1576">
        <v>4</v>
      </c>
      <c r="E1576">
        <v>905.55</v>
      </c>
      <c r="F1576">
        <v>4.75</v>
      </c>
      <c r="G1576">
        <v>100</v>
      </c>
    </row>
    <row r="1577" spans="1:7" ht="14" x14ac:dyDescent="0.3">
      <c r="A1577" t="s">
        <v>1605</v>
      </c>
      <c r="B1577" t="s">
        <v>8</v>
      </c>
      <c r="C1577">
        <v>8</v>
      </c>
      <c r="D1577">
        <v>12</v>
      </c>
      <c r="E1577">
        <v>902.23</v>
      </c>
      <c r="F1577">
        <v>4.58</v>
      </c>
      <c r="G1577">
        <v>100</v>
      </c>
    </row>
    <row r="1578" spans="1:7" ht="14" x14ac:dyDescent="0.3">
      <c r="A1578" t="s">
        <v>1606</v>
      </c>
      <c r="B1578" t="s">
        <v>8</v>
      </c>
      <c r="C1578">
        <v>7</v>
      </c>
      <c r="D1578">
        <v>8</v>
      </c>
      <c r="E1578">
        <v>901.51</v>
      </c>
      <c r="F1578">
        <v>3.88</v>
      </c>
      <c r="G1578">
        <v>87.5</v>
      </c>
    </row>
    <row r="1579" spans="1:7" ht="14" x14ac:dyDescent="0.3">
      <c r="A1579" t="s">
        <v>1607</v>
      </c>
      <c r="B1579" t="s">
        <v>32</v>
      </c>
      <c r="C1579">
        <v>10</v>
      </c>
      <c r="D1579">
        <v>10</v>
      </c>
      <c r="E1579">
        <v>901.14</v>
      </c>
      <c r="F1579">
        <v>4.5999999999999996</v>
      </c>
      <c r="G1579">
        <v>100</v>
      </c>
    </row>
    <row r="1580" spans="1:7" ht="14" x14ac:dyDescent="0.3">
      <c r="A1580" t="s">
        <v>1608</v>
      </c>
      <c r="B1580" t="s">
        <v>87</v>
      </c>
      <c r="C1580">
        <v>10</v>
      </c>
      <c r="D1580">
        <v>11</v>
      </c>
      <c r="E1580">
        <v>900.54</v>
      </c>
      <c r="F1580">
        <v>4.3600000000000003</v>
      </c>
      <c r="G1580">
        <v>100</v>
      </c>
    </row>
    <row r="1581" spans="1:7" ht="14" x14ac:dyDescent="0.3">
      <c r="A1581" t="s">
        <v>1609</v>
      </c>
      <c r="B1581" t="s">
        <v>8</v>
      </c>
      <c r="C1581">
        <v>6</v>
      </c>
      <c r="D1581">
        <v>6</v>
      </c>
      <c r="E1581">
        <v>896.93</v>
      </c>
      <c r="F1581">
        <v>4.67</v>
      </c>
      <c r="G1581">
        <v>100</v>
      </c>
    </row>
    <row r="1582" spans="1:7" ht="14" x14ac:dyDescent="0.3">
      <c r="A1582" t="s">
        <v>1610</v>
      </c>
      <c r="B1582" t="s">
        <v>8</v>
      </c>
      <c r="C1582">
        <v>6</v>
      </c>
      <c r="D1582">
        <v>7</v>
      </c>
      <c r="E1582">
        <v>895.02</v>
      </c>
      <c r="F1582">
        <v>4.71</v>
      </c>
      <c r="G1582">
        <v>100</v>
      </c>
    </row>
    <row r="1583" spans="1:7" ht="14" x14ac:dyDescent="0.3">
      <c r="A1583" t="s">
        <v>1611</v>
      </c>
      <c r="B1583" t="s">
        <v>8</v>
      </c>
      <c r="C1583">
        <v>9</v>
      </c>
      <c r="D1583">
        <v>9</v>
      </c>
      <c r="E1583">
        <v>892.54</v>
      </c>
      <c r="F1583">
        <v>4.5599999999999996</v>
      </c>
      <c r="G1583">
        <v>100</v>
      </c>
    </row>
    <row r="1584" spans="1:7" ht="14" x14ac:dyDescent="0.3">
      <c r="A1584" t="s">
        <v>1612</v>
      </c>
      <c r="B1584" t="s">
        <v>8</v>
      </c>
      <c r="C1584">
        <v>3</v>
      </c>
      <c r="D1584">
        <v>4</v>
      </c>
      <c r="E1584">
        <v>892.03</v>
      </c>
      <c r="F1584">
        <v>4</v>
      </c>
      <c r="G1584">
        <v>100</v>
      </c>
    </row>
    <row r="1585" spans="1:7" ht="14" x14ac:dyDescent="0.3">
      <c r="A1585" t="s">
        <v>1613</v>
      </c>
      <c r="B1585" t="s">
        <v>8</v>
      </c>
      <c r="C1585">
        <v>5</v>
      </c>
      <c r="D1585">
        <v>5</v>
      </c>
      <c r="E1585">
        <v>890.94</v>
      </c>
      <c r="F1585">
        <v>4.4000000000000004</v>
      </c>
      <c r="G1585">
        <v>100</v>
      </c>
    </row>
    <row r="1586" spans="1:7" ht="14" x14ac:dyDescent="0.3">
      <c r="A1586" t="s">
        <v>1614</v>
      </c>
      <c r="B1586" t="s">
        <v>8</v>
      </c>
      <c r="C1586">
        <v>9</v>
      </c>
      <c r="D1586">
        <v>9</v>
      </c>
      <c r="E1586">
        <v>889</v>
      </c>
      <c r="F1586">
        <v>4.33</v>
      </c>
      <c r="G1586">
        <v>88.9</v>
      </c>
    </row>
    <row r="1587" spans="1:7" ht="14" x14ac:dyDescent="0.3">
      <c r="A1587" t="s">
        <v>1615</v>
      </c>
      <c r="B1587" t="s">
        <v>8</v>
      </c>
      <c r="C1587">
        <v>17</v>
      </c>
      <c r="D1587">
        <v>22</v>
      </c>
      <c r="E1587">
        <v>888.64</v>
      </c>
      <c r="F1587">
        <v>4</v>
      </c>
      <c r="G1587">
        <v>100</v>
      </c>
    </row>
    <row r="1588" spans="1:7" ht="14" x14ac:dyDescent="0.3">
      <c r="A1588" t="s">
        <v>1616</v>
      </c>
      <c r="B1588" t="s">
        <v>8</v>
      </c>
      <c r="C1588">
        <v>7</v>
      </c>
      <c r="D1588">
        <v>8</v>
      </c>
      <c r="E1588">
        <v>886.37</v>
      </c>
      <c r="F1588">
        <v>2.75</v>
      </c>
      <c r="G1588">
        <v>62.5</v>
      </c>
    </row>
    <row r="1589" spans="1:7" ht="14" x14ac:dyDescent="0.3">
      <c r="A1589" t="s">
        <v>1617</v>
      </c>
      <c r="B1589" t="s">
        <v>8</v>
      </c>
      <c r="C1589">
        <v>4</v>
      </c>
      <c r="D1589">
        <v>4</v>
      </c>
      <c r="E1589">
        <v>885.86</v>
      </c>
      <c r="F1589">
        <v>3.75</v>
      </c>
      <c r="G1589">
        <v>75</v>
      </c>
    </row>
    <row r="1590" spans="1:7" ht="14" x14ac:dyDescent="0.3">
      <c r="A1590" t="s">
        <v>1618</v>
      </c>
      <c r="B1590" t="s">
        <v>8</v>
      </c>
      <c r="C1590">
        <v>4</v>
      </c>
      <c r="D1590">
        <v>4</v>
      </c>
      <c r="E1590">
        <v>884.31</v>
      </c>
      <c r="F1590">
        <v>4</v>
      </c>
      <c r="G1590">
        <v>100</v>
      </c>
    </row>
    <row r="1591" spans="1:7" ht="14" x14ac:dyDescent="0.3">
      <c r="A1591" t="s">
        <v>1619</v>
      </c>
      <c r="B1591" t="s">
        <v>241</v>
      </c>
      <c r="C1591">
        <v>1</v>
      </c>
      <c r="D1591">
        <v>1</v>
      </c>
      <c r="E1591">
        <v>882.87</v>
      </c>
      <c r="F1591">
        <v>5</v>
      </c>
      <c r="G1591">
        <v>100</v>
      </c>
    </row>
    <row r="1592" spans="1:7" ht="14" x14ac:dyDescent="0.3">
      <c r="A1592" t="s">
        <v>1620</v>
      </c>
      <c r="B1592" t="s">
        <v>8</v>
      </c>
      <c r="C1592">
        <v>1</v>
      </c>
      <c r="D1592">
        <v>1</v>
      </c>
      <c r="E1592">
        <v>880.75</v>
      </c>
      <c r="F1592">
        <v>5</v>
      </c>
      <c r="G1592">
        <v>100</v>
      </c>
    </row>
    <row r="1593" spans="1:7" ht="14" x14ac:dyDescent="0.3">
      <c r="A1593" t="s">
        <v>1621</v>
      </c>
      <c r="B1593" t="s">
        <v>32</v>
      </c>
      <c r="C1593">
        <v>10</v>
      </c>
      <c r="D1593">
        <v>12</v>
      </c>
      <c r="E1593">
        <v>880.68</v>
      </c>
      <c r="F1593">
        <v>4.33</v>
      </c>
      <c r="G1593">
        <v>100</v>
      </c>
    </row>
    <row r="1594" spans="1:7" ht="14" x14ac:dyDescent="0.3">
      <c r="A1594" t="s">
        <v>1622</v>
      </c>
      <c r="B1594" t="s">
        <v>8</v>
      </c>
      <c r="C1594">
        <v>12</v>
      </c>
      <c r="D1594">
        <v>12</v>
      </c>
      <c r="E1594">
        <v>880.23</v>
      </c>
      <c r="F1594">
        <v>4.17</v>
      </c>
      <c r="G1594">
        <v>91.7</v>
      </c>
    </row>
    <row r="1595" spans="1:7" ht="14" x14ac:dyDescent="0.3">
      <c r="A1595" t="s">
        <v>1623</v>
      </c>
      <c r="B1595" t="s">
        <v>8</v>
      </c>
      <c r="C1595">
        <v>6</v>
      </c>
      <c r="D1595">
        <v>6</v>
      </c>
      <c r="E1595">
        <v>879.92</v>
      </c>
      <c r="F1595">
        <v>5</v>
      </c>
      <c r="G1595">
        <v>83.3</v>
      </c>
    </row>
    <row r="1596" spans="1:7" ht="14" x14ac:dyDescent="0.3">
      <c r="A1596" t="s">
        <v>1624</v>
      </c>
      <c r="B1596" t="s">
        <v>32</v>
      </c>
      <c r="C1596">
        <v>11</v>
      </c>
      <c r="D1596">
        <v>12</v>
      </c>
      <c r="E1596">
        <v>876.81</v>
      </c>
      <c r="F1596">
        <v>3.83</v>
      </c>
      <c r="G1596">
        <v>100</v>
      </c>
    </row>
    <row r="1597" spans="1:7" ht="14" x14ac:dyDescent="0.3">
      <c r="A1597" t="s">
        <v>1625</v>
      </c>
      <c r="B1597" t="s">
        <v>8</v>
      </c>
      <c r="C1597">
        <v>8</v>
      </c>
      <c r="D1597">
        <v>9</v>
      </c>
      <c r="E1597">
        <v>874.99</v>
      </c>
      <c r="F1597">
        <v>4.5599999999999996</v>
      </c>
      <c r="G1597">
        <v>100</v>
      </c>
    </row>
    <row r="1598" spans="1:7" ht="14" x14ac:dyDescent="0.3">
      <c r="A1598" t="s">
        <v>1626</v>
      </c>
      <c r="B1598" t="s">
        <v>8</v>
      </c>
      <c r="C1598">
        <v>6</v>
      </c>
      <c r="D1598">
        <v>7</v>
      </c>
      <c r="E1598">
        <v>874.51</v>
      </c>
      <c r="F1598">
        <v>3.71</v>
      </c>
      <c r="G1598">
        <v>100</v>
      </c>
    </row>
    <row r="1599" spans="1:7" ht="14" x14ac:dyDescent="0.3">
      <c r="A1599" t="s">
        <v>1627</v>
      </c>
      <c r="B1599" t="s">
        <v>8</v>
      </c>
      <c r="C1599">
        <v>9</v>
      </c>
      <c r="D1599">
        <v>13</v>
      </c>
      <c r="E1599">
        <v>874.18</v>
      </c>
      <c r="F1599">
        <v>3.69</v>
      </c>
      <c r="G1599">
        <v>69.2</v>
      </c>
    </row>
    <row r="1600" spans="1:7" ht="14" x14ac:dyDescent="0.3">
      <c r="A1600" t="s">
        <v>1628</v>
      </c>
      <c r="B1600" t="s">
        <v>24</v>
      </c>
      <c r="C1600">
        <v>2</v>
      </c>
      <c r="D1600">
        <v>2</v>
      </c>
      <c r="E1600">
        <v>870.21</v>
      </c>
      <c r="F1600">
        <v>5</v>
      </c>
      <c r="G1600">
        <v>100</v>
      </c>
    </row>
    <row r="1601" spans="1:7" ht="14" x14ac:dyDescent="0.3">
      <c r="A1601" t="s">
        <v>1629</v>
      </c>
      <c r="B1601" t="s">
        <v>8</v>
      </c>
      <c r="C1601">
        <v>7</v>
      </c>
      <c r="D1601">
        <v>7</v>
      </c>
      <c r="E1601">
        <v>869.73</v>
      </c>
      <c r="F1601">
        <v>4.1399999999999997</v>
      </c>
      <c r="G1601">
        <v>100</v>
      </c>
    </row>
    <row r="1602" spans="1:7" ht="14" x14ac:dyDescent="0.3">
      <c r="A1602" t="s">
        <v>1630</v>
      </c>
      <c r="B1602" t="s">
        <v>24</v>
      </c>
      <c r="C1602">
        <v>8</v>
      </c>
      <c r="D1602">
        <v>8</v>
      </c>
      <c r="E1602">
        <v>868.64</v>
      </c>
      <c r="F1602">
        <v>4.0599999999999996</v>
      </c>
      <c r="G1602">
        <v>100</v>
      </c>
    </row>
    <row r="1603" spans="1:7" ht="14" x14ac:dyDescent="0.3">
      <c r="A1603" t="s">
        <v>1631</v>
      </c>
      <c r="B1603" t="s">
        <v>8</v>
      </c>
      <c r="C1603">
        <v>2</v>
      </c>
      <c r="D1603">
        <v>2</v>
      </c>
      <c r="E1603">
        <v>864.88</v>
      </c>
      <c r="F1603">
        <v>5</v>
      </c>
      <c r="G1603">
        <v>100</v>
      </c>
    </row>
    <row r="1604" spans="1:7" ht="14" x14ac:dyDescent="0.3">
      <c r="A1604" t="s">
        <v>1632</v>
      </c>
      <c r="B1604" t="s">
        <v>309</v>
      </c>
      <c r="C1604">
        <v>9</v>
      </c>
      <c r="D1604">
        <v>9</v>
      </c>
      <c r="E1604">
        <v>864.1</v>
      </c>
      <c r="F1604">
        <v>4.22</v>
      </c>
      <c r="G1604">
        <v>100</v>
      </c>
    </row>
    <row r="1605" spans="1:7" ht="14" x14ac:dyDescent="0.3">
      <c r="A1605" t="s">
        <v>1633</v>
      </c>
      <c r="B1605" t="s">
        <v>8</v>
      </c>
      <c r="C1605">
        <v>2</v>
      </c>
      <c r="D1605">
        <v>2</v>
      </c>
      <c r="E1605">
        <v>862.37</v>
      </c>
      <c r="F1605">
        <v>2.5</v>
      </c>
      <c r="G1605">
        <v>100</v>
      </c>
    </row>
    <row r="1606" spans="1:7" ht="14" x14ac:dyDescent="0.3">
      <c r="A1606" t="s">
        <v>1634</v>
      </c>
      <c r="B1606" t="s">
        <v>24</v>
      </c>
      <c r="C1606">
        <v>9</v>
      </c>
      <c r="D1606">
        <v>10</v>
      </c>
      <c r="E1606">
        <v>862.25</v>
      </c>
      <c r="F1606">
        <v>3.8</v>
      </c>
      <c r="G1606">
        <v>90</v>
      </c>
    </row>
    <row r="1607" spans="1:7" ht="14" x14ac:dyDescent="0.3">
      <c r="A1607" t="s">
        <v>1635</v>
      </c>
      <c r="B1607" t="s">
        <v>24</v>
      </c>
      <c r="C1607">
        <v>6</v>
      </c>
      <c r="D1607">
        <v>7</v>
      </c>
      <c r="E1607">
        <v>861.46</v>
      </c>
      <c r="F1607">
        <v>3.86</v>
      </c>
      <c r="G1607">
        <v>100</v>
      </c>
    </row>
    <row r="1608" spans="1:7" ht="14" x14ac:dyDescent="0.3">
      <c r="A1608" t="s">
        <v>1636</v>
      </c>
      <c r="B1608" t="s">
        <v>8</v>
      </c>
      <c r="C1608">
        <v>10</v>
      </c>
      <c r="D1608">
        <v>13</v>
      </c>
      <c r="E1608">
        <v>859.57</v>
      </c>
      <c r="F1608">
        <v>4.7699999999999996</v>
      </c>
      <c r="G1608">
        <v>100</v>
      </c>
    </row>
    <row r="1609" spans="1:7" ht="14" x14ac:dyDescent="0.3">
      <c r="A1609" t="s">
        <v>1637</v>
      </c>
      <c r="B1609" t="s">
        <v>32</v>
      </c>
      <c r="C1609">
        <v>3</v>
      </c>
      <c r="D1609">
        <v>3</v>
      </c>
      <c r="E1609">
        <v>858.85</v>
      </c>
      <c r="F1609">
        <v>4</v>
      </c>
      <c r="G1609">
        <v>66.7</v>
      </c>
    </row>
    <row r="1610" spans="1:7" ht="14" x14ac:dyDescent="0.3">
      <c r="A1610" t="s">
        <v>1638</v>
      </c>
      <c r="B1610" t="s">
        <v>42</v>
      </c>
      <c r="C1610">
        <v>2</v>
      </c>
      <c r="D1610">
        <v>2</v>
      </c>
      <c r="E1610">
        <v>857.7</v>
      </c>
      <c r="F1610">
        <v>5</v>
      </c>
      <c r="G1610">
        <v>100</v>
      </c>
    </row>
    <row r="1611" spans="1:7" ht="14" x14ac:dyDescent="0.3">
      <c r="A1611" t="s">
        <v>1639</v>
      </c>
      <c r="B1611" t="s">
        <v>8</v>
      </c>
      <c r="C1611">
        <v>21</v>
      </c>
      <c r="D1611">
        <v>21</v>
      </c>
      <c r="E1611">
        <v>854.46</v>
      </c>
      <c r="F1611">
        <v>4.67</v>
      </c>
      <c r="G1611">
        <v>100</v>
      </c>
    </row>
    <row r="1612" spans="1:7" ht="14" x14ac:dyDescent="0.3">
      <c r="A1612" t="s">
        <v>1640</v>
      </c>
      <c r="B1612" t="s">
        <v>152</v>
      </c>
      <c r="C1612">
        <v>10</v>
      </c>
      <c r="D1612">
        <v>11</v>
      </c>
      <c r="E1612">
        <v>854.26</v>
      </c>
      <c r="F1612">
        <v>4.7300000000000004</v>
      </c>
      <c r="G1612">
        <v>100</v>
      </c>
    </row>
    <row r="1613" spans="1:7" ht="14" x14ac:dyDescent="0.3">
      <c r="A1613" t="s">
        <v>1641</v>
      </c>
      <c r="B1613" t="s">
        <v>152</v>
      </c>
      <c r="C1613">
        <v>6</v>
      </c>
      <c r="D1613">
        <v>12</v>
      </c>
      <c r="E1613">
        <v>851.98</v>
      </c>
      <c r="F1613">
        <v>3.5</v>
      </c>
      <c r="G1613">
        <v>100</v>
      </c>
    </row>
    <row r="1614" spans="1:7" ht="14" x14ac:dyDescent="0.3">
      <c r="A1614" t="s">
        <v>1642</v>
      </c>
      <c r="B1614" t="s">
        <v>8</v>
      </c>
      <c r="C1614">
        <v>7</v>
      </c>
      <c r="D1614">
        <v>7</v>
      </c>
      <c r="E1614">
        <v>851.12</v>
      </c>
      <c r="F1614">
        <v>4.1399999999999997</v>
      </c>
      <c r="G1614">
        <v>85.7</v>
      </c>
    </row>
    <row r="1615" spans="1:7" ht="14" x14ac:dyDescent="0.3">
      <c r="A1615" t="s">
        <v>1643</v>
      </c>
      <c r="B1615" t="s">
        <v>8</v>
      </c>
      <c r="C1615">
        <v>12</v>
      </c>
      <c r="D1615">
        <v>13</v>
      </c>
      <c r="E1615">
        <v>850.02</v>
      </c>
      <c r="F1615">
        <v>4</v>
      </c>
      <c r="G1615">
        <v>100</v>
      </c>
    </row>
    <row r="1616" spans="1:7" ht="14" x14ac:dyDescent="0.3">
      <c r="A1616" t="s">
        <v>1644</v>
      </c>
      <c r="B1616" t="s">
        <v>152</v>
      </c>
      <c r="C1616">
        <v>2</v>
      </c>
      <c r="D1616">
        <v>3</v>
      </c>
      <c r="E1616">
        <v>846.62</v>
      </c>
      <c r="F1616">
        <v>2.67</v>
      </c>
      <c r="G1616">
        <v>100</v>
      </c>
    </row>
    <row r="1617" spans="1:7" ht="14" x14ac:dyDescent="0.3">
      <c r="A1617" t="s">
        <v>1645</v>
      </c>
      <c r="B1617" t="s">
        <v>8</v>
      </c>
      <c r="C1617">
        <v>15</v>
      </c>
      <c r="D1617">
        <v>15</v>
      </c>
      <c r="E1617">
        <v>846.08</v>
      </c>
      <c r="F1617">
        <v>3.73</v>
      </c>
      <c r="G1617">
        <v>86.7</v>
      </c>
    </row>
    <row r="1618" spans="1:7" ht="14" x14ac:dyDescent="0.3">
      <c r="A1618" t="s">
        <v>1646</v>
      </c>
      <c r="B1618" t="s">
        <v>8</v>
      </c>
      <c r="C1618">
        <v>13</v>
      </c>
      <c r="D1618">
        <v>13</v>
      </c>
      <c r="E1618">
        <v>845.8</v>
      </c>
      <c r="F1618">
        <v>4.2699999999999996</v>
      </c>
      <c r="G1618">
        <v>100</v>
      </c>
    </row>
    <row r="1619" spans="1:7" ht="14" x14ac:dyDescent="0.3">
      <c r="A1619" t="s">
        <v>1647</v>
      </c>
      <c r="B1619" t="s">
        <v>8</v>
      </c>
      <c r="C1619">
        <v>4</v>
      </c>
      <c r="D1619">
        <v>6</v>
      </c>
      <c r="E1619">
        <v>845.39</v>
      </c>
      <c r="F1619">
        <v>4.5</v>
      </c>
      <c r="G1619">
        <v>100</v>
      </c>
    </row>
    <row r="1620" spans="1:7" ht="14" x14ac:dyDescent="0.3">
      <c r="A1620" t="s">
        <v>1648</v>
      </c>
      <c r="B1620" t="s">
        <v>8</v>
      </c>
      <c r="C1620">
        <v>4</v>
      </c>
      <c r="D1620">
        <v>4</v>
      </c>
      <c r="E1620">
        <v>843.93</v>
      </c>
      <c r="F1620">
        <v>4.75</v>
      </c>
      <c r="G1620">
        <v>100</v>
      </c>
    </row>
    <row r="1621" spans="1:7" ht="14" x14ac:dyDescent="0.3">
      <c r="A1621" t="s">
        <v>1649</v>
      </c>
      <c r="B1621" t="s">
        <v>8</v>
      </c>
      <c r="C1621">
        <v>4</v>
      </c>
      <c r="D1621">
        <v>5</v>
      </c>
      <c r="E1621">
        <v>842.48</v>
      </c>
      <c r="F1621">
        <v>4.8</v>
      </c>
      <c r="G1621">
        <v>100</v>
      </c>
    </row>
    <row r="1622" spans="1:7" ht="14" x14ac:dyDescent="0.3">
      <c r="A1622" t="s">
        <v>1650</v>
      </c>
      <c r="B1622" t="s">
        <v>418</v>
      </c>
      <c r="C1622">
        <v>4</v>
      </c>
      <c r="D1622">
        <v>4</v>
      </c>
      <c r="E1622">
        <v>841.33</v>
      </c>
      <c r="F1622">
        <v>4.5</v>
      </c>
      <c r="G1622">
        <v>100</v>
      </c>
    </row>
    <row r="1623" spans="1:7" ht="14" x14ac:dyDescent="0.3">
      <c r="A1623" t="s">
        <v>1651</v>
      </c>
      <c r="B1623" t="s">
        <v>8</v>
      </c>
      <c r="C1623">
        <v>6</v>
      </c>
      <c r="D1623">
        <v>6</v>
      </c>
      <c r="E1623">
        <v>840.33</v>
      </c>
      <c r="F1623">
        <v>3.83</v>
      </c>
      <c r="G1623">
        <v>83.3</v>
      </c>
    </row>
    <row r="1624" spans="1:7" ht="14" x14ac:dyDescent="0.3">
      <c r="A1624" t="s">
        <v>1652</v>
      </c>
      <c r="B1624" t="s">
        <v>42</v>
      </c>
      <c r="C1624">
        <v>4</v>
      </c>
      <c r="D1624">
        <v>5</v>
      </c>
      <c r="E1624">
        <v>837.83</v>
      </c>
      <c r="F1624">
        <v>5</v>
      </c>
      <c r="G1624">
        <v>100</v>
      </c>
    </row>
    <row r="1625" spans="1:7" ht="14" x14ac:dyDescent="0.3">
      <c r="A1625" t="s">
        <v>1653</v>
      </c>
      <c r="B1625" t="s">
        <v>87</v>
      </c>
      <c r="C1625">
        <v>11</v>
      </c>
      <c r="D1625">
        <v>11</v>
      </c>
      <c r="E1625">
        <v>837.67</v>
      </c>
      <c r="F1625">
        <v>4.09</v>
      </c>
      <c r="G1625">
        <v>90.9</v>
      </c>
    </row>
    <row r="1626" spans="1:7" ht="14" x14ac:dyDescent="0.3">
      <c r="A1626" t="s">
        <v>1654</v>
      </c>
      <c r="B1626" t="s">
        <v>8</v>
      </c>
      <c r="C1626">
        <v>10</v>
      </c>
      <c r="D1626">
        <v>10</v>
      </c>
      <c r="E1626">
        <v>837.13</v>
      </c>
      <c r="F1626">
        <v>4.2</v>
      </c>
      <c r="G1626">
        <v>80</v>
      </c>
    </row>
    <row r="1627" spans="1:7" ht="14" x14ac:dyDescent="0.3">
      <c r="A1627" t="s">
        <v>1655</v>
      </c>
      <c r="B1627" t="s">
        <v>152</v>
      </c>
      <c r="C1627">
        <v>7</v>
      </c>
      <c r="D1627">
        <v>7</v>
      </c>
      <c r="E1627">
        <v>837.13</v>
      </c>
      <c r="F1627">
        <v>4.57</v>
      </c>
      <c r="G1627">
        <v>100</v>
      </c>
    </row>
    <row r="1628" spans="1:7" ht="14" x14ac:dyDescent="0.3">
      <c r="A1628" t="s">
        <v>1656</v>
      </c>
      <c r="B1628" t="s">
        <v>8</v>
      </c>
      <c r="C1628">
        <v>4</v>
      </c>
      <c r="D1628">
        <v>5</v>
      </c>
      <c r="E1628">
        <v>837.1</v>
      </c>
      <c r="F1628">
        <v>2.8</v>
      </c>
      <c r="G1628">
        <v>100</v>
      </c>
    </row>
    <row r="1629" spans="1:7" ht="14" x14ac:dyDescent="0.3">
      <c r="A1629" t="s">
        <v>1657</v>
      </c>
      <c r="B1629" t="s">
        <v>87</v>
      </c>
      <c r="C1629">
        <v>10</v>
      </c>
      <c r="D1629">
        <v>11</v>
      </c>
      <c r="E1629">
        <v>836.83</v>
      </c>
      <c r="F1629">
        <v>4.45</v>
      </c>
      <c r="G1629">
        <v>100</v>
      </c>
    </row>
    <row r="1630" spans="1:7" ht="14" x14ac:dyDescent="0.3">
      <c r="A1630" t="s">
        <v>1658</v>
      </c>
      <c r="B1630" t="s">
        <v>8</v>
      </c>
      <c r="C1630">
        <v>1</v>
      </c>
      <c r="D1630">
        <v>2</v>
      </c>
      <c r="E1630">
        <v>834.94</v>
      </c>
      <c r="F1630">
        <v>4</v>
      </c>
      <c r="G1630">
        <v>0</v>
      </c>
    </row>
    <row r="1631" spans="1:7" ht="14" x14ac:dyDescent="0.3">
      <c r="A1631" t="s">
        <v>1659</v>
      </c>
      <c r="B1631" t="s">
        <v>22</v>
      </c>
      <c r="C1631">
        <v>2</v>
      </c>
      <c r="D1631">
        <v>2</v>
      </c>
      <c r="E1631">
        <v>833.15</v>
      </c>
      <c r="F1631">
        <v>4.5</v>
      </c>
      <c r="G1631">
        <v>100</v>
      </c>
    </row>
    <row r="1632" spans="1:7" ht="14" x14ac:dyDescent="0.3">
      <c r="A1632" t="s">
        <v>1660</v>
      </c>
      <c r="B1632" t="s">
        <v>24</v>
      </c>
      <c r="C1632">
        <v>5</v>
      </c>
      <c r="D1632">
        <v>5</v>
      </c>
      <c r="E1632">
        <v>832.22</v>
      </c>
      <c r="F1632">
        <v>4.2</v>
      </c>
      <c r="G1632">
        <v>100</v>
      </c>
    </row>
    <row r="1633" spans="1:7" ht="14" x14ac:dyDescent="0.3">
      <c r="A1633" t="s">
        <v>1661</v>
      </c>
      <c r="B1633" t="s">
        <v>8</v>
      </c>
      <c r="C1633">
        <v>3</v>
      </c>
      <c r="D1633">
        <v>3</v>
      </c>
      <c r="E1633">
        <v>831.26</v>
      </c>
      <c r="F1633">
        <v>3.67</v>
      </c>
      <c r="G1633">
        <v>100</v>
      </c>
    </row>
    <row r="1634" spans="1:7" ht="14" x14ac:dyDescent="0.3">
      <c r="A1634" t="s">
        <v>1662</v>
      </c>
      <c r="B1634" t="s">
        <v>8</v>
      </c>
      <c r="C1634">
        <v>2</v>
      </c>
      <c r="D1634">
        <v>2</v>
      </c>
      <c r="E1634">
        <v>831.01</v>
      </c>
      <c r="F1634">
        <v>5</v>
      </c>
      <c r="G1634">
        <v>100</v>
      </c>
    </row>
    <row r="1635" spans="1:7" ht="14" x14ac:dyDescent="0.3">
      <c r="A1635" t="s">
        <v>1663</v>
      </c>
      <c r="B1635" t="s">
        <v>32</v>
      </c>
      <c r="C1635">
        <v>10</v>
      </c>
      <c r="D1635">
        <v>11</v>
      </c>
      <c r="E1635">
        <v>829.75</v>
      </c>
      <c r="F1635">
        <v>3.82</v>
      </c>
      <c r="G1635">
        <v>100</v>
      </c>
    </row>
    <row r="1636" spans="1:7" ht="14" x14ac:dyDescent="0.3">
      <c r="A1636" t="s">
        <v>1664</v>
      </c>
      <c r="B1636" t="s">
        <v>8</v>
      </c>
      <c r="C1636">
        <v>3</v>
      </c>
      <c r="D1636">
        <v>3</v>
      </c>
      <c r="E1636">
        <v>827.97</v>
      </c>
      <c r="F1636">
        <v>3.33</v>
      </c>
      <c r="G1636">
        <v>100</v>
      </c>
    </row>
    <row r="1637" spans="1:7" ht="14" x14ac:dyDescent="0.3">
      <c r="A1637" t="s">
        <v>1665</v>
      </c>
      <c r="B1637" t="s">
        <v>8</v>
      </c>
      <c r="C1637">
        <v>6</v>
      </c>
      <c r="D1637">
        <v>6</v>
      </c>
      <c r="E1637">
        <v>826.23</v>
      </c>
      <c r="F1637">
        <v>4</v>
      </c>
      <c r="G1637">
        <v>100</v>
      </c>
    </row>
    <row r="1638" spans="1:7" ht="14" x14ac:dyDescent="0.3">
      <c r="A1638" t="s">
        <v>1666</v>
      </c>
      <c r="B1638" t="s">
        <v>8</v>
      </c>
      <c r="C1638">
        <v>12</v>
      </c>
      <c r="D1638">
        <v>13</v>
      </c>
      <c r="E1638">
        <v>826.2</v>
      </c>
      <c r="F1638">
        <v>3.85</v>
      </c>
      <c r="G1638">
        <v>92.3</v>
      </c>
    </row>
    <row r="1639" spans="1:7" ht="14" x14ac:dyDescent="0.3">
      <c r="A1639" t="s">
        <v>1667</v>
      </c>
      <c r="B1639" t="s">
        <v>42</v>
      </c>
      <c r="C1639">
        <v>3</v>
      </c>
      <c r="D1639">
        <v>4</v>
      </c>
      <c r="E1639">
        <v>825.98</v>
      </c>
      <c r="F1639">
        <v>4.25</v>
      </c>
      <c r="G1639">
        <v>100</v>
      </c>
    </row>
    <row r="1640" spans="1:7" ht="14" x14ac:dyDescent="0.3">
      <c r="A1640" t="s">
        <v>1668</v>
      </c>
      <c r="B1640" t="s">
        <v>8</v>
      </c>
      <c r="C1640">
        <v>9</v>
      </c>
      <c r="D1640">
        <v>11</v>
      </c>
      <c r="E1640">
        <v>825.16</v>
      </c>
      <c r="F1640">
        <v>3.55</v>
      </c>
      <c r="G1640">
        <v>90.9</v>
      </c>
    </row>
    <row r="1641" spans="1:7" ht="14" x14ac:dyDescent="0.3">
      <c r="A1641" s="1" t="s">
        <v>1669</v>
      </c>
      <c r="B1641" t="s">
        <v>8</v>
      </c>
      <c r="C1641">
        <v>3</v>
      </c>
      <c r="D1641">
        <v>3</v>
      </c>
      <c r="E1641">
        <v>824.18</v>
      </c>
      <c r="F1641">
        <v>4</v>
      </c>
      <c r="G1641">
        <v>100</v>
      </c>
    </row>
    <row r="1642" spans="1:7" ht="14" x14ac:dyDescent="0.3">
      <c r="A1642" t="s">
        <v>1670</v>
      </c>
      <c r="B1642" t="s">
        <v>8</v>
      </c>
      <c r="C1642">
        <v>10</v>
      </c>
      <c r="D1642">
        <v>11</v>
      </c>
      <c r="E1642">
        <v>821.99</v>
      </c>
      <c r="F1642">
        <v>3.82</v>
      </c>
      <c r="G1642">
        <v>100</v>
      </c>
    </row>
    <row r="1643" spans="1:7" ht="14" x14ac:dyDescent="0.3">
      <c r="A1643" t="s">
        <v>1671</v>
      </c>
      <c r="B1643" t="s">
        <v>8</v>
      </c>
      <c r="C1643">
        <v>7</v>
      </c>
      <c r="D1643">
        <v>13</v>
      </c>
      <c r="E1643">
        <v>821.15</v>
      </c>
      <c r="F1643">
        <v>4.7699999999999996</v>
      </c>
      <c r="G1643">
        <v>84.6</v>
      </c>
    </row>
    <row r="1644" spans="1:7" ht="14" x14ac:dyDescent="0.3">
      <c r="A1644" t="s">
        <v>1672</v>
      </c>
      <c r="B1644" t="s">
        <v>87</v>
      </c>
      <c r="C1644">
        <v>4</v>
      </c>
      <c r="D1644">
        <v>8</v>
      </c>
      <c r="E1644">
        <v>820.57</v>
      </c>
      <c r="F1644">
        <v>2.75</v>
      </c>
      <c r="G1644">
        <v>50</v>
      </c>
    </row>
    <row r="1645" spans="1:7" ht="14" x14ac:dyDescent="0.3">
      <c r="A1645" t="s">
        <v>1673</v>
      </c>
      <c r="B1645" t="s">
        <v>32</v>
      </c>
      <c r="C1645">
        <v>3</v>
      </c>
      <c r="D1645">
        <v>3</v>
      </c>
      <c r="E1645">
        <v>820.27</v>
      </c>
      <c r="F1645">
        <v>5</v>
      </c>
      <c r="G1645">
        <v>100</v>
      </c>
    </row>
    <row r="1646" spans="1:7" ht="14" x14ac:dyDescent="0.3">
      <c r="A1646" t="s">
        <v>1674</v>
      </c>
      <c r="B1646" t="s">
        <v>8</v>
      </c>
      <c r="C1646">
        <v>2</v>
      </c>
      <c r="D1646">
        <v>2</v>
      </c>
      <c r="E1646">
        <v>818.33</v>
      </c>
      <c r="F1646">
        <v>3</v>
      </c>
      <c r="G1646">
        <v>100</v>
      </c>
    </row>
    <row r="1647" spans="1:7" ht="14" x14ac:dyDescent="0.3">
      <c r="A1647" t="s">
        <v>1675</v>
      </c>
      <c r="B1647" t="s">
        <v>8</v>
      </c>
      <c r="C1647">
        <v>9</v>
      </c>
      <c r="D1647">
        <v>11</v>
      </c>
      <c r="E1647">
        <v>817.21</v>
      </c>
      <c r="F1647">
        <v>4.09</v>
      </c>
      <c r="G1647">
        <v>100</v>
      </c>
    </row>
    <row r="1648" spans="1:7" ht="14" x14ac:dyDescent="0.3">
      <c r="A1648" t="s">
        <v>1676</v>
      </c>
      <c r="B1648" t="s">
        <v>8</v>
      </c>
      <c r="C1648">
        <v>15</v>
      </c>
      <c r="D1648">
        <v>17</v>
      </c>
      <c r="E1648">
        <v>816.21</v>
      </c>
      <c r="F1648">
        <v>3.18</v>
      </c>
      <c r="G1648">
        <v>94.1</v>
      </c>
    </row>
    <row r="1649" spans="1:7" ht="14" x14ac:dyDescent="0.3">
      <c r="A1649" t="s">
        <v>1677</v>
      </c>
      <c r="B1649" t="s">
        <v>8</v>
      </c>
      <c r="C1649">
        <v>2</v>
      </c>
      <c r="D1649">
        <v>2</v>
      </c>
      <c r="E1649">
        <v>813.28</v>
      </c>
      <c r="F1649">
        <v>4</v>
      </c>
      <c r="G1649">
        <v>50</v>
      </c>
    </row>
    <row r="1650" spans="1:7" ht="14" x14ac:dyDescent="0.3">
      <c r="A1650" t="s">
        <v>1678</v>
      </c>
      <c r="B1650" t="s">
        <v>152</v>
      </c>
      <c r="C1650">
        <v>3</v>
      </c>
      <c r="D1650">
        <v>3</v>
      </c>
      <c r="E1650">
        <v>812.8</v>
      </c>
      <c r="F1650">
        <v>2.33</v>
      </c>
      <c r="G1650">
        <v>66.7</v>
      </c>
    </row>
    <row r="1651" spans="1:7" ht="14" x14ac:dyDescent="0.3">
      <c r="A1651" t="s">
        <v>1679</v>
      </c>
      <c r="B1651" t="s">
        <v>8</v>
      </c>
      <c r="C1651">
        <v>6</v>
      </c>
      <c r="D1651">
        <v>7</v>
      </c>
      <c r="E1651">
        <v>809.42</v>
      </c>
      <c r="F1651">
        <v>4.1399999999999997</v>
      </c>
      <c r="G1651">
        <v>85.7</v>
      </c>
    </row>
    <row r="1652" spans="1:7" ht="14" x14ac:dyDescent="0.3">
      <c r="A1652" t="s">
        <v>1680</v>
      </c>
      <c r="B1652" t="s">
        <v>8</v>
      </c>
      <c r="C1652">
        <v>12</v>
      </c>
      <c r="D1652">
        <v>12</v>
      </c>
      <c r="E1652">
        <v>805.65</v>
      </c>
      <c r="F1652">
        <v>4.58</v>
      </c>
      <c r="G1652">
        <v>91.7</v>
      </c>
    </row>
    <row r="1653" spans="1:7" ht="14" x14ac:dyDescent="0.3">
      <c r="A1653" t="s">
        <v>1681</v>
      </c>
      <c r="B1653" t="s">
        <v>8</v>
      </c>
      <c r="C1653">
        <v>16</v>
      </c>
      <c r="D1653">
        <v>22</v>
      </c>
      <c r="E1653">
        <v>803.67</v>
      </c>
      <c r="F1653">
        <v>4.7300000000000004</v>
      </c>
      <c r="G1653">
        <v>100</v>
      </c>
    </row>
    <row r="1654" spans="1:7" ht="14" x14ac:dyDescent="0.3">
      <c r="A1654" t="s">
        <v>1682</v>
      </c>
      <c r="B1654" t="s">
        <v>8</v>
      </c>
      <c r="C1654">
        <v>7</v>
      </c>
      <c r="D1654">
        <v>12</v>
      </c>
      <c r="E1654">
        <v>803.05</v>
      </c>
      <c r="F1654">
        <v>3.33</v>
      </c>
      <c r="G1654">
        <v>100</v>
      </c>
    </row>
    <row r="1655" spans="1:7" ht="14" x14ac:dyDescent="0.3">
      <c r="A1655" t="s">
        <v>1683</v>
      </c>
      <c r="B1655" t="s">
        <v>22</v>
      </c>
      <c r="C1655">
        <v>5</v>
      </c>
      <c r="D1655">
        <v>5</v>
      </c>
      <c r="E1655">
        <v>802.61</v>
      </c>
      <c r="F1655">
        <v>4</v>
      </c>
      <c r="G1655">
        <v>80</v>
      </c>
    </row>
    <row r="1656" spans="1:7" ht="14" x14ac:dyDescent="0.3">
      <c r="A1656" t="s">
        <v>1684</v>
      </c>
      <c r="B1656" t="s">
        <v>24</v>
      </c>
      <c r="C1656">
        <v>5</v>
      </c>
      <c r="D1656">
        <v>6</v>
      </c>
      <c r="E1656">
        <v>800.64</v>
      </c>
      <c r="F1656">
        <v>4.17</v>
      </c>
      <c r="G1656">
        <v>100</v>
      </c>
    </row>
    <row r="1657" spans="1:7" ht="14" x14ac:dyDescent="0.3">
      <c r="A1657" t="s">
        <v>1685</v>
      </c>
      <c r="B1657" t="s">
        <v>8</v>
      </c>
      <c r="C1657">
        <v>18</v>
      </c>
      <c r="D1657">
        <v>19</v>
      </c>
      <c r="E1657">
        <v>800.27</v>
      </c>
      <c r="F1657">
        <v>4.32</v>
      </c>
      <c r="G1657">
        <v>94.7</v>
      </c>
    </row>
    <row r="1658" spans="1:7" ht="14" x14ac:dyDescent="0.3">
      <c r="A1658" t="s">
        <v>1686</v>
      </c>
      <c r="B1658" t="s">
        <v>8</v>
      </c>
      <c r="C1658">
        <v>4</v>
      </c>
      <c r="D1658">
        <v>10</v>
      </c>
      <c r="E1658">
        <v>795.98</v>
      </c>
      <c r="F1658">
        <v>2.5</v>
      </c>
      <c r="G1658">
        <v>40</v>
      </c>
    </row>
    <row r="1659" spans="1:7" ht="14" x14ac:dyDescent="0.3">
      <c r="A1659" t="s">
        <v>1687</v>
      </c>
      <c r="B1659" t="s">
        <v>8</v>
      </c>
      <c r="C1659">
        <v>3</v>
      </c>
      <c r="D1659">
        <v>3</v>
      </c>
      <c r="E1659">
        <v>793.34</v>
      </c>
      <c r="F1659">
        <v>3.67</v>
      </c>
      <c r="G1659">
        <v>66.7</v>
      </c>
    </row>
    <row r="1660" spans="1:7" ht="14" x14ac:dyDescent="0.3">
      <c r="A1660" t="s">
        <v>1688</v>
      </c>
      <c r="B1660" t="s">
        <v>42</v>
      </c>
      <c r="C1660">
        <v>2</v>
      </c>
      <c r="D1660">
        <v>2</v>
      </c>
      <c r="E1660">
        <v>791.95</v>
      </c>
      <c r="F1660">
        <v>3</v>
      </c>
      <c r="G1660">
        <v>100</v>
      </c>
    </row>
    <row r="1661" spans="1:7" ht="14" x14ac:dyDescent="0.3">
      <c r="A1661" t="s">
        <v>1689</v>
      </c>
      <c r="B1661" t="s">
        <v>8</v>
      </c>
      <c r="C1661">
        <v>5</v>
      </c>
      <c r="D1661">
        <v>6</v>
      </c>
      <c r="E1661">
        <v>791.6</v>
      </c>
      <c r="F1661">
        <v>3</v>
      </c>
      <c r="G1661">
        <v>66.7</v>
      </c>
    </row>
    <row r="1662" spans="1:7" ht="14" x14ac:dyDescent="0.3">
      <c r="A1662" t="s">
        <v>1690</v>
      </c>
      <c r="B1662" t="s">
        <v>32</v>
      </c>
      <c r="C1662">
        <v>12</v>
      </c>
      <c r="D1662">
        <v>12</v>
      </c>
      <c r="E1662">
        <v>791.29</v>
      </c>
      <c r="F1662">
        <v>4.5</v>
      </c>
      <c r="G1662">
        <v>100</v>
      </c>
    </row>
    <row r="1663" spans="1:7" ht="14" x14ac:dyDescent="0.3">
      <c r="A1663" t="s">
        <v>1691</v>
      </c>
      <c r="B1663" t="s">
        <v>24</v>
      </c>
      <c r="C1663">
        <v>12</v>
      </c>
      <c r="D1663">
        <v>12</v>
      </c>
      <c r="E1663">
        <v>789.92</v>
      </c>
      <c r="F1663">
        <v>4.5</v>
      </c>
      <c r="G1663">
        <v>91.7</v>
      </c>
    </row>
    <row r="1664" spans="1:7" ht="14" x14ac:dyDescent="0.3">
      <c r="A1664" t="s">
        <v>1692</v>
      </c>
      <c r="B1664" t="s">
        <v>8</v>
      </c>
      <c r="C1664">
        <v>3</v>
      </c>
      <c r="D1664">
        <v>4</v>
      </c>
      <c r="E1664">
        <v>789.54</v>
      </c>
      <c r="F1664">
        <v>4.75</v>
      </c>
      <c r="G1664">
        <v>100</v>
      </c>
    </row>
    <row r="1665" spans="1:7" ht="14" x14ac:dyDescent="0.3">
      <c r="A1665" t="s">
        <v>1693</v>
      </c>
      <c r="B1665" t="s">
        <v>8</v>
      </c>
      <c r="C1665">
        <v>7</v>
      </c>
      <c r="D1665">
        <v>11</v>
      </c>
      <c r="E1665">
        <v>787.75</v>
      </c>
      <c r="F1665">
        <v>2.91</v>
      </c>
      <c r="G1665">
        <v>100</v>
      </c>
    </row>
    <row r="1666" spans="1:7" ht="14" x14ac:dyDescent="0.3">
      <c r="A1666" t="s">
        <v>1694</v>
      </c>
      <c r="B1666" t="s">
        <v>8</v>
      </c>
      <c r="C1666">
        <v>7</v>
      </c>
      <c r="D1666">
        <v>7</v>
      </c>
      <c r="E1666">
        <v>787.26</v>
      </c>
      <c r="F1666">
        <v>4.57</v>
      </c>
      <c r="G1666">
        <v>100</v>
      </c>
    </row>
    <row r="1667" spans="1:7" ht="14" x14ac:dyDescent="0.3">
      <c r="A1667" t="s">
        <v>1695</v>
      </c>
      <c r="B1667" t="s">
        <v>87</v>
      </c>
      <c r="C1667">
        <v>2</v>
      </c>
      <c r="D1667">
        <v>2</v>
      </c>
      <c r="E1667">
        <v>785.75</v>
      </c>
      <c r="F1667">
        <v>5</v>
      </c>
      <c r="G1667">
        <v>100</v>
      </c>
    </row>
    <row r="1668" spans="1:7" ht="14" x14ac:dyDescent="0.3">
      <c r="A1668" t="s">
        <v>1696</v>
      </c>
      <c r="B1668" t="s">
        <v>8</v>
      </c>
      <c r="C1668">
        <v>1</v>
      </c>
      <c r="D1668">
        <v>1</v>
      </c>
      <c r="E1668">
        <v>784.8</v>
      </c>
      <c r="F1668">
        <v>5</v>
      </c>
      <c r="G1668">
        <v>100</v>
      </c>
    </row>
    <row r="1669" spans="1:7" ht="14" x14ac:dyDescent="0.3">
      <c r="A1669" t="s">
        <v>1697</v>
      </c>
      <c r="B1669" t="s">
        <v>8</v>
      </c>
      <c r="C1669">
        <v>21</v>
      </c>
      <c r="D1669">
        <v>23</v>
      </c>
      <c r="E1669">
        <v>784.34</v>
      </c>
      <c r="F1669">
        <v>4.3</v>
      </c>
      <c r="G1669">
        <v>100</v>
      </c>
    </row>
    <row r="1670" spans="1:7" ht="14" x14ac:dyDescent="0.3">
      <c r="A1670" t="s">
        <v>1698</v>
      </c>
      <c r="B1670" t="s">
        <v>24</v>
      </c>
      <c r="C1670">
        <v>6</v>
      </c>
      <c r="D1670">
        <v>7</v>
      </c>
      <c r="E1670">
        <v>784.08</v>
      </c>
      <c r="F1670">
        <v>4.71</v>
      </c>
      <c r="G1670">
        <v>100</v>
      </c>
    </row>
    <row r="1671" spans="1:7" ht="14" x14ac:dyDescent="0.3">
      <c r="A1671" t="s">
        <v>1699</v>
      </c>
      <c r="B1671" t="s">
        <v>42</v>
      </c>
      <c r="C1671">
        <v>1</v>
      </c>
      <c r="D1671">
        <v>15</v>
      </c>
      <c r="E1671">
        <v>783</v>
      </c>
      <c r="F1671">
        <v>5</v>
      </c>
      <c r="G1671">
        <v>100</v>
      </c>
    </row>
    <row r="1672" spans="1:7" ht="14" x14ac:dyDescent="0.3">
      <c r="A1672" t="s">
        <v>1700</v>
      </c>
      <c r="B1672" t="s">
        <v>24</v>
      </c>
      <c r="C1672">
        <v>3</v>
      </c>
      <c r="D1672">
        <v>3</v>
      </c>
      <c r="E1672">
        <v>782.23</v>
      </c>
      <c r="F1672">
        <v>4.67</v>
      </c>
      <c r="G1672">
        <v>100</v>
      </c>
    </row>
    <row r="1673" spans="1:7" ht="14" x14ac:dyDescent="0.3">
      <c r="A1673" t="s">
        <v>1701</v>
      </c>
      <c r="B1673" t="s">
        <v>22</v>
      </c>
      <c r="C1673">
        <v>10</v>
      </c>
      <c r="D1673">
        <v>10</v>
      </c>
      <c r="E1673">
        <v>781.12</v>
      </c>
      <c r="F1673">
        <v>3</v>
      </c>
      <c r="G1673">
        <v>80</v>
      </c>
    </row>
    <row r="1674" spans="1:7" ht="14" x14ac:dyDescent="0.3">
      <c r="A1674" t="s">
        <v>1702</v>
      </c>
      <c r="B1674" t="s">
        <v>8</v>
      </c>
      <c r="C1674">
        <v>5</v>
      </c>
      <c r="D1674">
        <v>5</v>
      </c>
      <c r="E1674">
        <v>779.66</v>
      </c>
      <c r="F1674">
        <v>4.8</v>
      </c>
      <c r="G1674">
        <v>100</v>
      </c>
    </row>
    <row r="1675" spans="1:7" ht="14" x14ac:dyDescent="0.3">
      <c r="A1675" s="1" t="s">
        <v>1703</v>
      </c>
      <c r="B1675" t="s">
        <v>8</v>
      </c>
      <c r="C1675">
        <v>7</v>
      </c>
      <c r="D1675">
        <v>12</v>
      </c>
      <c r="E1675">
        <v>779.32</v>
      </c>
      <c r="F1675">
        <v>4.67</v>
      </c>
      <c r="G1675">
        <v>100</v>
      </c>
    </row>
    <row r="1676" spans="1:7" ht="14" x14ac:dyDescent="0.3">
      <c r="A1676" t="s">
        <v>1704</v>
      </c>
      <c r="B1676" t="s">
        <v>32</v>
      </c>
      <c r="C1676">
        <v>8</v>
      </c>
      <c r="D1676">
        <v>8</v>
      </c>
      <c r="E1676">
        <v>778.63</v>
      </c>
      <c r="F1676">
        <v>4.63</v>
      </c>
      <c r="G1676">
        <v>100</v>
      </c>
    </row>
    <row r="1677" spans="1:7" ht="14" x14ac:dyDescent="0.3">
      <c r="A1677" t="s">
        <v>1705</v>
      </c>
      <c r="B1677" t="s">
        <v>8</v>
      </c>
      <c r="C1677">
        <v>7</v>
      </c>
      <c r="D1677">
        <v>8</v>
      </c>
      <c r="E1677">
        <v>777.23</v>
      </c>
      <c r="F1677">
        <v>3.88</v>
      </c>
      <c r="G1677">
        <v>100</v>
      </c>
    </row>
    <row r="1678" spans="1:7" ht="14" x14ac:dyDescent="0.3">
      <c r="A1678" t="s">
        <v>1706</v>
      </c>
      <c r="B1678" t="s">
        <v>8</v>
      </c>
      <c r="C1678">
        <v>17</v>
      </c>
      <c r="D1678">
        <v>23</v>
      </c>
      <c r="E1678">
        <v>773.54</v>
      </c>
      <c r="F1678">
        <v>4.13</v>
      </c>
      <c r="G1678">
        <v>82.6</v>
      </c>
    </row>
    <row r="1679" spans="1:7" ht="14" x14ac:dyDescent="0.3">
      <c r="A1679" t="s">
        <v>1707</v>
      </c>
      <c r="B1679" t="s">
        <v>24</v>
      </c>
      <c r="C1679">
        <v>7</v>
      </c>
      <c r="D1679">
        <v>7</v>
      </c>
      <c r="E1679">
        <v>772.83</v>
      </c>
      <c r="F1679">
        <v>3.86</v>
      </c>
      <c r="G1679">
        <v>100</v>
      </c>
    </row>
    <row r="1680" spans="1:7" ht="14" x14ac:dyDescent="0.3">
      <c r="A1680" t="s">
        <v>1708</v>
      </c>
      <c r="B1680" t="s">
        <v>32</v>
      </c>
      <c r="C1680">
        <v>10</v>
      </c>
      <c r="D1680">
        <v>11</v>
      </c>
      <c r="E1680">
        <v>771.61</v>
      </c>
      <c r="F1680">
        <v>4.18</v>
      </c>
      <c r="G1680">
        <v>100</v>
      </c>
    </row>
    <row r="1681" spans="1:7" ht="14" x14ac:dyDescent="0.3">
      <c r="A1681" t="s">
        <v>1709</v>
      </c>
      <c r="B1681" t="s">
        <v>101</v>
      </c>
      <c r="C1681">
        <v>4</v>
      </c>
      <c r="D1681">
        <v>4</v>
      </c>
      <c r="E1681">
        <v>770.12</v>
      </c>
      <c r="F1681">
        <v>4</v>
      </c>
      <c r="G1681">
        <v>100</v>
      </c>
    </row>
    <row r="1682" spans="1:7" ht="14" x14ac:dyDescent="0.3">
      <c r="A1682" t="s">
        <v>1710</v>
      </c>
      <c r="B1682" t="s">
        <v>32</v>
      </c>
      <c r="C1682">
        <v>5</v>
      </c>
      <c r="D1682">
        <v>5</v>
      </c>
      <c r="E1682">
        <v>769.44</v>
      </c>
      <c r="F1682">
        <v>5</v>
      </c>
      <c r="G1682">
        <v>100</v>
      </c>
    </row>
    <row r="1683" spans="1:7" ht="14" x14ac:dyDescent="0.3">
      <c r="A1683" t="s">
        <v>1711</v>
      </c>
      <c r="B1683" t="s">
        <v>101</v>
      </c>
      <c r="C1683">
        <v>7</v>
      </c>
      <c r="D1683">
        <v>7</v>
      </c>
      <c r="E1683">
        <v>769.38</v>
      </c>
      <c r="F1683">
        <v>3.57</v>
      </c>
      <c r="G1683">
        <v>85.7</v>
      </c>
    </row>
    <row r="1684" spans="1:7" ht="14" x14ac:dyDescent="0.3">
      <c r="A1684" t="s">
        <v>1712</v>
      </c>
      <c r="B1684" t="s">
        <v>8</v>
      </c>
      <c r="C1684">
        <v>17</v>
      </c>
      <c r="D1684">
        <v>17</v>
      </c>
      <c r="E1684">
        <v>767.7</v>
      </c>
      <c r="F1684">
        <v>4.6500000000000004</v>
      </c>
      <c r="G1684">
        <v>88.2</v>
      </c>
    </row>
    <row r="1685" spans="1:7" ht="14" x14ac:dyDescent="0.3">
      <c r="A1685" t="s">
        <v>1713</v>
      </c>
      <c r="B1685" t="s">
        <v>8</v>
      </c>
      <c r="C1685">
        <v>1</v>
      </c>
      <c r="D1685">
        <v>1</v>
      </c>
      <c r="E1685">
        <v>767.69</v>
      </c>
      <c r="F1685">
        <v>1</v>
      </c>
      <c r="G1685">
        <v>100</v>
      </c>
    </row>
    <row r="1686" spans="1:7" ht="14" x14ac:dyDescent="0.3">
      <c r="A1686" t="s">
        <v>1714</v>
      </c>
      <c r="B1686" t="s">
        <v>32</v>
      </c>
      <c r="C1686">
        <v>3</v>
      </c>
      <c r="D1686">
        <v>4</v>
      </c>
      <c r="E1686">
        <v>767.32</v>
      </c>
      <c r="F1686">
        <v>3</v>
      </c>
      <c r="G1686">
        <v>100</v>
      </c>
    </row>
    <row r="1687" spans="1:7" ht="14" x14ac:dyDescent="0.3">
      <c r="A1687" t="s">
        <v>1715</v>
      </c>
      <c r="B1687" t="s">
        <v>32</v>
      </c>
      <c r="C1687">
        <v>6</v>
      </c>
      <c r="D1687">
        <v>6</v>
      </c>
      <c r="E1687">
        <v>765.74</v>
      </c>
      <c r="F1687">
        <v>4.67</v>
      </c>
      <c r="G1687">
        <v>100</v>
      </c>
    </row>
    <row r="1688" spans="1:7" ht="14" x14ac:dyDescent="0.3">
      <c r="A1688" t="s">
        <v>1716</v>
      </c>
      <c r="B1688" t="s">
        <v>8</v>
      </c>
      <c r="C1688">
        <v>5</v>
      </c>
      <c r="D1688">
        <v>7</v>
      </c>
      <c r="E1688">
        <v>763.33</v>
      </c>
      <c r="F1688">
        <v>3.43</v>
      </c>
      <c r="G1688">
        <v>85.7</v>
      </c>
    </row>
    <row r="1689" spans="1:7" ht="14" x14ac:dyDescent="0.3">
      <c r="A1689" t="s">
        <v>1717</v>
      </c>
      <c r="B1689" t="s">
        <v>8</v>
      </c>
      <c r="C1689">
        <v>13</v>
      </c>
      <c r="D1689">
        <v>17</v>
      </c>
      <c r="E1689">
        <v>761.98</v>
      </c>
      <c r="F1689">
        <v>3.65</v>
      </c>
      <c r="G1689">
        <v>100</v>
      </c>
    </row>
    <row r="1690" spans="1:7" ht="14" x14ac:dyDescent="0.3">
      <c r="A1690" t="s">
        <v>1718</v>
      </c>
      <c r="B1690" t="s">
        <v>22</v>
      </c>
      <c r="C1690">
        <v>5</v>
      </c>
      <c r="D1690">
        <v>5</v>
      </c>
      <c r="E1690">
        <v>761.29</v>
      </c>
      <c r="F1690">
        <v>4.8</v>
      </c>
      <c r="G1690">
        <v>100</v>
      </c>
    </row>
    <row r="1691" spans="1:7" ht="14" x14ac:dyDescent="0.3">
      <c r="A1691" t="s">
        <v>1719</v>
      </c>
      <c r="B1691" t="s">
        <v>32</v>
      </c>
      <c r="C1691">
        <v>4</v>
      </c>
      <c r="D1691">
        <v>5</v>
      </c>
      <c r="E1691">
        <v>760.65</v>
      </c>
      <c r="F1691">
        <v>3.8</v>
      </c>
      <c r="G1691">
        <v>100</v>
      </c>
    </row>
    <row r="1692" spans="1:7" ht="14" x14ac:dyDescent="0.3">
      <c r="A1692" t="s">
        <v>1720</v>
      </c>
      <c r="B1692" t="s">
        <v>8</v>
      </c>
      <c r="C1692">
        <v>2</v>
      </c>
      <c r="D1692">
        <v>2</v>
      </c>
      <c r="E1692">
        <v>759.59</v>
      </c>
      <c r="F1692">
        <v>2.5</v>
      </c>
      <c r="G1692">
        <v>100</v>
      </c>
    </row>
    <row r="1693" spans="1:7" ht="14" x14ac:dyDescent="0.3">
      <c r="A1693" t="s">
        <v>1721</v>
      </c>
      <c r="B1693" t="s">
        <v>8</v>
      </c>
      <c r="C1693">
        <v>3</v>
      </c>
      <c r="D1693">
        <v>3</v>
      </c>
      <c r="E1693">
        <v>758.7</v>
      </c>
      <c r="F1693">
        <v>3.67</v>
      </c>
      <c r="G1693">
        <v>100</v>
      </c>
    </row>
    <row r="1694" spans="1:7" ht="14" x14ac:dyDescent="0.3">
      <c r="A1694" t="s">
        <v>1722</v>
      </c>
      <c r="B1694" t="s">
        <v>8</v>
      </c>
      <c r="C1694">
        <v>9</v>
      </c>
      <c r="D1694">
        <v>12</v>
      </c>
      <c r="E1694">
        <v>756</v>
      </c>
      <c r="F1694">
        <v>4.08</v>
      </c>
      <c r="G1694">
        <v>100</v>
      </c>
    </row>
    <row r="1695" spans="1:7" ht="14" x14ac:dyDescent="0.3">
      <c r="A1695" t="s">
        <v>1723</v>
      </c>
      <c r="B1695" t="s">
        <v>87</v>
      </c>
      <c r="C1695">
        <v>5</v>
      </c>
      <c r="D1695">
        <v>12</v>
      </c>
      <c r="E1695">
        <v>753.62</v>
      </c>
      <c r="F1695">
        <v>4.8</v>
      </c>
      <c r="G1695">
        <v>100</v>
      </c>
    </row>
    <row r="1696" spans="1:7" ht="14" x14ac:dyDescent="0.3">
      <c r="A1696" t="s">
        <v>1724</v>
      </c>
      <c r="B1696" t="s">
        <v>24</v>
      </c>
      <c r="C1696">
        <v>9</v>
      </c>
      <c r="D1696">
        <v>9</v>
      </c>
      <c r="E1696">
        <v>752.51</v>
      </c>
      <c r="F1696">
        <v>3.78</v>
      </c>
      <c r="G1696">
        <v>100</v>
      </c>
    </row>
    <row r="1697" spans="1:7" ht="14" x14ac:dyDescent="0.3">
      <c r="A1697" t="s">
        <v>1725</v>
      </c>
      <c r="B1697" t="s">
        <v>8</v>
      </c>
      <c r="C1697">
        <v>7</v>
      </c>
      <c r="D1697">
        <v>8</v>
      </c>
      <c r="E1697">
        <v>751.91</v>
      </c>
      <c r="F1697">
        <v>4.13</v>
      </c>
      <c r="G1697">
        <v>87.5</v>
      </c>
    </row>
    <row r="1698" spans="1:7" ht="14" x14ac:dyDescent="0.3">
      <c r="A1698" t="s">
        <v>1726</v>
      </c>
      <c r="B1698" t="s">
        <v>8</v>
      </c>
      <c r="C1698">
        <v>6</v>
      </c>
      <c r="D1698">
        <v>11</v>
      </c>
      <c r="E1698">
        <v>751.76</v>
      </c>
      <c r="F1698">
        <v>5</v>
      </c>
      <c r="G1698">
        <v>100</v>
      </c>
    </row>
    <row r="1699" spans="1:7" ht="14" x14ac:dyDescent="0.3">
      <c r="A1699" t="s">
        <v>1727</v>
      </c>
      <c r="B1699" t="s">
        <v>8</v>
      </c>
      <c r="C1699">
        <v>3</v>
      </c>
      <c r="D1699">
        <v>3</v>
      </c>
      <c r="E1699">
        <v>750.53</v>
      </c>
      <c r="F1699">
        <v>3.33</v>
      </c>
      <c r="G1699">
        <v>66.7</v>
      </c>
    </row>
    <row r="1700" spans="1:7" ht="14" x14ac:dyDescent="0.3">
      <c r="A1700" s="1" t="s">
        <v>1728</v>
      </c>
      <c r="B1700" t="s">
        <v>22</v>
      </c>
      <c r="C1700">
        <v>8</v>
      </c>
      <c r="D1700">
        <v>11</v>
      </c>
      <c r="E1700">
        <v>750.28</v>
      </c>
      <c r="F1700">
        <v>4.09</v>
      </c>
      <c r="G1700">
        <v>90.9</v>
      </c>
    </row>
    <row r="1701" spans="1:7" ht="14" x14ac:dyDescent="0.3">
      <c r="A1701" t="s">
        <v>1729</v>
      </c>
      <c r="B1701" t="s">
        <v>42</v>
      </c>
      <c r="C1701">
        <v>4</v>
      </c>
      <c r="D1701">
        <v>10</v>
      </c>
      <c r="E1701">
        <v>749</v>
      </c>
      <c r="F1701">
        <v>4.3</v>
      </c>
      <c r="G1701">
        <v>100</v>
      </c>
    </row>
    <row r="1702" spans="1:7" ht="14" x14ac:dyDescent="0.3">
      <c r="A1702" t="s">
        <v>1730</v>
      </c>
      <c r="B1702" t="s">
        <v>8</v>
      </c>
      <c r="C1702">
        <v>4</v>
      </c>
      <c r="D1702">
        <v>4</v>
      </c>
      <c r="E1702">
        <v>748.64</v>
      </c>
      <c r="F1702">
        <v>4.75</v>
      </c>
      <c r="G1702">
        <v>100</v>
      </c>
    </row>
    <row r="1703" spans="1:7" ht="14" x14ac:dyDescent="0.3">
      <c r="A1703" t="s">
        <v>1731</v>
      </c>
      <c r="B1703" t="s">
        <v>8</v>
      </c>
      <c r="C1703">
        <v>25</v>
      </c>
      <c r="D1703">
        <v>32</v>
      </c>
      <c r="E1703">
        <v>746.51</v>
      </c>
      <c r="F1703">
        <v>4.34</v>
      </c>
      <c r="G1703">
        <v>100</v>
      </c>
    </row>
    <row r="1704" spans="1:7" ht="14" x14ac:dyDescent="0.3">
      <c r="A1704" t="s">
        <v>1732</v>
      </c>
      <c r="B1704" t="s">
        <v>8</v>
      </c>
      <c r="C1704">
        <v>9</v>
      </c>
      <c r="D1704">
        <v>9</v>
      </c>
      <c r="E1704">
        <v>746.22</v>
      </c>
      <c r="F1704">
        <v>3.56</v>
      </c>
      <c r="G1704">
        <v>55.6</v>
      </c>
    </row>
    <row r="1705" spans="1:7" ht="14" x14ac:dyDescent="0.3">
      <c r="A1705" t="s">
        <v>1733</v>
      </c>
      <c r="B1705" t="s">
        <v>8</v>
      </c>
      <c r="C1705">
        <v>7</v>
      </c>
      <c r="D1705">
        <v>7</v>
      </c>
      <c r="E1705">
        <v>745.92</v>
      </c>
      <c r="F1705">
        <v>4.43</v>
      </c>
      <c r="G1705">
        <v>100</v>
      </c>
    </row>
    <row r="1706" spans="1:7" ht="14" x14ac:dyDescent="0.3">
      <c r="A1706" t="s">
        <v>1734</v>
      </c>
      <c r="B1706" t="s">
        <v>32</v>
      </c>
      <c r="C1706">
        <v>5</v>
      </c>
      <c r="D1706">
        <v>7</v>
      </c>
      <c r="E1706">
        <v>745.57</v>
      </c>
      <c r="F1706">
        <v>4.1399999999999997</v>
      </c>
      <c r="G1706">
        <v>100</v>
      </c>
    </row>
    <row r="1707" spans="1:7" ht="14" x14ac:dyDescent="0.3">
      <c r="A1707" t="s">
        <v>1735</v>
      </c>
      <c r="B1707" t="s">
        <v>8</v>
      </c>
      <c r="C1707">
        <v>3</v>
      </c>
      <c r="D1707">
        <v>3</v>
      </c>
      <c r="E1707">
        <v>744.81</v>
      </c>
      <c r="F1707">
        <v>5</v>
      </c>
      <c r="G1707">
        <v>100</v>
      </c>
    </row>
    <row r="1708" spans="1:7" ht="14" x14ac:dyDescent="0.3">
      <c r="A1708" t="s">
        <v>1736</v>
      </c>
      <c r="B1708" t="s">
        <v>8</v>
      </c>
      <c r="C1708">
        <v>12</v>
      </c>
      <c r="D1708">
        <v>13</v>
      </c>
      <c r="E1708">
        <v>744.8</v>
      </c>
      <c r="F1708">
        <v>4.3099999999999996</v>
      </c>
      <c r="G1708">
        <v>100</v>
      </c>
    </row>
    <row r="1709" spans="1:7" ht="14" x14ac:dyDescent="0.3">
      <c r="A1709" t="s">
        <v>1737</v>
      </c>
      <c r="B1709" t="s">
        <v>8</v>
      </c>
      <c r="C1709">
        <v>2</v>
      </c>
      <c r="D1709">
        <v>2</v>
      </c>
      <c r="E1709">
        <v>740.97</v>
      </c>
      <c r="F1709">
        <v>4.5</v>
      </c>
      <c r="G1709">
        <v>100</v>
      </c>
    </row>
    <row r="1710" spans="1:7" ht="14" x14ac:dyDescent="0.3">
      <c r="A1710" s="1" t="s">
        <v>1738</v>
      </c>
      <c r="B1710" t="s">
        <v>8</v>
      </c>
      <c r="C1710">
        <v>3</v>
      </c>
      <c r="D1710">
        <v>3</v>
      </c>
      <c r="E1710">
        <v>740.5</v>
      </c>
      <c r="F1710">
        <v>3.67</v>
      </c>
      <c r="G1710">
        <v>100</v>
      </c>
    </row>
    <row r="1711" spans="1:7" ht="14" x14ac:dyDescent="0.3">
      <c r="A1711" t="s">
        <v>1739</v>
      </c>
      <c r="B1711" t="s">
        <v>8</v>
      </c>
      <c r="C1711">
        <v>6</v>
      </c>
      <c r="D1711">
        <v>6</v>
      </c>
      <c r="E1711">
        <v>740.42</v>
      </c>
      <c r="F1711">
        <v>4</v>
      </c>
      <c r="G1711">
        <v>66.7</v>
      </c>
    </row>
    <row r="1712" spans="1:7" ht="14" x14ac:dyDescent="0.3">
      <c r="A1712" t="s">
        <v>1740</v>
      </c>
      <c r="B1712" t="s">
        <v>32</v>
      </c>
      <c r="C1712">
        <v>19</v>
      </c>
      <c r="D1712">
        <v>23</v>
      </c>
      <c r="E1712">
        <v>737.2</v>
      </c>
      <c r="F1712">
        <v>4.26</v>
      </c>
      <c r="G1712">
        <v>91.3</v>
      </c>
    </row>
    <row r="1713" spans="1:7" ht="14" x14ac:dyDescent="0.3">
      <c r="A1713" t="s">
        <v>1741</v>
      </c>
      <c r="B1713" t="s">
        <v>42</v>
      </c>
      <c r="C1713">
        <v>2</v>
      </c>
      <c r="D1713">
        <v>2</v>
      </c>
      <c r="E1713">
        <v>737.14</v>
      </c>
      <c r="F1713">
        <v>3</v>
      </c>
      <c r="G1713">
        <v>100</v>
      </c>
    </row>
    <row r="1714" spans="1:7" ht="14" x14ac:dyDescent="0.3">
      <c r="A1714" t="s">
        <v>1742</v>
      </c>
      <c r="B1714" t="s">
        <v>32</v>
      </c>
      <c r="C1714">
        <v>6</v>
      </c>
      <c r="D1714">
        <v>7</v>
      </c>
      <c r="E1714">
        <v>736.33</v>
      </c>
      <c r="F1714">
        <v>4.1399999999999997</v>
      </c>
      <c r="G1714">
        <v>71.400000000000006</v>
      </c>
    </row>
    <row r="1715" spans="1:7" ht="14" x14ac:dyDescent="0.3">
      <c r="A1715" t="s">
        <v>1743</v>
      </c>
      <c r="B1715" t="s">
        <v>32</v>
      </c>
      <c r="C1715">
        <v>2</v>
      </c>
      <c r="D1715">
        <v>2</v>
      </c>
      <c r="E1715">
        <v>734.75</v>
      </c>
      <c r="F1715">
        <v>4</v>
      </c>
      <c r="G1715">
        <v>100</v>
      </c>
    </row>
    <row r="1716" spans="1:7" ht="14" x14ac:dyDescent="0.3">
      <c r="A1716" t="s">
        <v>1744</v>
      </c>
      <c r="B1716" t="s">
        <v>87</v>
      </c>
      <c r="C1716">
        <v>7</v>
      </c>
      <c r="D1716">
        <v>7</v>
      </c>
      <c r="E1716">
        <v>734.57</v>
      </c>
      <c r="F1716">
        <v>4.29</v>
      </c>
      <c r="G1716">
        <v>100</v>
      </c>
    </row>
    <row r="1717" spans="1:7" ht="14" x14ac:dyDescent="0.3">
      <c r="A1717" t="s">
        <v>1745</v>
      </c>
      <c r="B1717" t="s">
        <v>32</v>
      </c>
      <c r="C1717">
        <v>3</v>
      </c>
      <c r="D1717">
        <v>8</v>
      </c>
      <c r="E1717">
        <v>733.72</v>
      </c>
      <c r="F1717">
        <v>2.75</v>
      </c>
      <c r="G1717">
        <v>100</v>
      </c>
    </row>
    <row r="1718" spans="1:7" ht="14" x14ac:dyDescent="0.3">
      <c r="A1718" t="s">
        <v>1746</v>
      </c>
      <c r="B1718" t="s">
        <v>8</v>
      </c>
      <c r="C1718">
        <v>3</v>
      </c>
      <c r="D1718">
        <v>8</v>
      </c>
      <c r="E1718">
        <v>733.66</v>
      </c>
      <c r="F1718">
        <v>5</v>
      </c>
      <c r="G1718">
        <v>100</v>
      </c>
    </row>
    <row r="1719" spans="1:7" ht="14" x14ac:dyDescent="0.3">
      <c r="A1719" t="s">
        <v>1747</v>
      </c>
      <c r="B1719" t="s">
        <v>8</v>
      </c>
      <c r="C1719">
        <v>2</v>
      </c>
      <c r="D1719">
        <v>3</v>
      </c>
      <c r="E1719">
        <v>730.04</v>
      </c>
      <c r="F1719">
        <v>5</v>
      </c>
      <c r="G1719">
        <v>66.7</v>
      </c>
    </row>
    <row r="1720" spans="1:7" ht="14" x14ac:dyDescent="0.3">
      <c r="A1720" t="s">
        <v>1748</v>
      </c>
      <c r="B1720" t="s">
        <v>42</v>
      </c>
      <c r="C1720">
        <v>1</v>
      </c>
      <c r="D1720">
        <v>1</v>
      </c>
      <c r="E1720">
        <v>729.65</v>
      </c>
      <c r="F1720">
        <v>5</v>
      </c>
      <c r="G1720">
        <v>100</v>
      </c>
    </row>
    <row r="1721" spans="1:7" ht="14" x14ac:dyDescent="0.3">
      <c r="A1721" t="s">
        <v>1749</v>
      </c>
      <c r="B1721" t="s">
        <v>8</v>
      </c>
      <c r="C1721">
        <v>19</v>
      </c>
      <c r="D1721">
        <v>21</v>
      </c>
      <c r="E1721">
        <v>727.33</v>
      </c>
      <c r="F1721">
        <v>3.86</v>
      </c>
      <c r="G1721">
        <v>95.2</v>
      </c>
    </row>
    <row r="1722" spans="1:7" ht="14" x14ac:dyDescent="0.3">
      <c r="A1722" t="s">
        <v>1750</v>
      </c>
      <c r="B1722" t="s">
        <v>418</v>
      </c>
      <c r="C1722">
        <v>8</v>
      </c>
      <c r="D1722">
        <v>10</v>
      </c>
      <c r="E1722">
        <v>726.21</v>
      </c>
      <c r="F1722">
        <v>3.9</v>
      </c>
      <c r="G1722">
        <v>100</v>
      </c>
    </row>
    <row r="1723" spans="1:7" ht="14" x14ac:dyDescent="0.3">
      <c r="A1723" t="s">
        <v>1751</v>
      </c>
      <c r="B1723" t="s">
        <v>32</v>
      </c>
      <c r="C1723">
        <v>2</v>
      </c>
      <c r="D1723">
        <v>2</v>
      </c>
      <c r="E1723">
        <v>726.15</v>
      </c>
      <c r="F1723">
        <v>4.5</v>
      </c>
      <c r="G1723">
        <v>100</v>
      </c>
    </row>
    <row r="1724" spans="1:7" ht="14" x14ac:dyDescent="0.3">
      <c r="A1724" t="s">
        <v>1752</v>
      </c>
      <c r="B1724" t="s">
        <v>8</v>
      </c>
      <c r="C1724">
        <v>13</v>
      </c>
      <c r="D1724">
        <v>13</v>
      </c>
      <c r="E1724">
        <v>724.47</v>
      </c>
      <c r="F1724">
        <v>4.3099999999999996</v>
      </c>
      <c r="G1724">
        <v>100</v>
      </c>
    </row>
    <row r="1725" spans="1:7" ht="14" x14ac:dyDescent="0.3">
      <c r="A1725" t="s">
        <v>1753</v>
      </c>
      <c r="B1725" t="s">
        <v>22</v>
      </c>
      <c r="C1725">
        <v>4</v>
      </c>
      <c r="D1725">
        <v>6</v>
      </c>
      <c r="E1725">
        <v>723.87</v>
      </c>
      <c r="F1725">
        <v>5</v>
      </c>
      <c r="G1725">
        <v>100</v>
      </c>
    </row>
    <row r="1726" spans="1:7" ht="14" x14ac:dyDescent="0.3">
      <c r="A1726" t="s">
        <v>1754</v>
      </c>
      <c r="B1726" t="s">
        <v>32</v>
      </c>
      <c r="C1726">
        <v>5</v>
      </c>
      <c r="D1726">
        <v>5</v>
      </c>
      <c r="E1726">
        <v>723.03</v>
      </c>
      <c r="F1726">
        <v>4</v>
      </c>
      <c r="G1726">
        <v>100</v>
      </c>
    </row>
    <row r="1727" spans="1:7" ht="14" x14ac:dyDescent="0.3">
      <c r="A1727" t="s">
        <v>1755</v>
      </c>
      <c r="B1727" t="s">
        <v>8</v>
      </c>
      <c r="C1727">
        <v>7</v>
      </c>
      <c r="D1727">
        <v>10</v>
      </c>
      <c r="E1727">
        <v>722.97</v>
      </c>
      <c r="F1727">
        <v>4.5</v>
      </c>
      <c r="G1727">
        <v>100</v>
      </c>
    </row>
    <row r="1728" spans="1:7" ht="14" x14ac:dyDescent="0.3">
      <c r="A1728" t="s">
        <v>1756</v>
      </c>
      <c r="B1728" t="s">
        <v>8</v>
      </c>
      <c r="C1728">
        <v>12</v>
      </c>
      <c r="D1728">
        <v>17</v>
      </c>
      <c r="E1728">
        <v>720.53</v>
      </c>
      <c r="F1728">
        <v>4.24</v>
      </c>
      <c r="G1728">
        <v>94.1</v>
      </c>
    </row>
    <row r="1729" spans="1:7" ht="14" x14ac:dyDescent="0.3">
      <c r="A1729" t="s">
        <v>1757</v>
      </c>
      <c r="B1729" t="s">
        <v>8</v>
      </c>
      <c r="C1729">
        <v>9</v>
      </c>
      <c r="D1729">
        <v>10</v>
      </c>
      <c r="E1729">
        <v>719.39</v>
      </c>
      <c r="F1729">
        <v>4</v>
      </c>
      <c r="G1729">
        <v>100</v>
      </c>
    </row>
    <row r="1730" spans="1:7" ht="14" x14ac:dyDescent="0.3">
      <c r="A1730" t="s">
        <v>1758</v>
      </c>
      <c r="B1730" t="s">
        <v>8</v>
      </c>
      <c r="C1730">
        <v>6</v>
      </c>
      <c r="D1730">
        <v>7</v>
      </c>
      <c r="E1730">
        <v>717.04</v>
      </c>
      <c r="F1730">
        <v>5</v>
      </c>
      <c r="G1730">
        <v>100</v>
      </c>
    </row>
    <row r="1731" spans="1:7" ht="14" x14ac:dyDescent="0.3">
      <c r="A1731" t="s">
        <v>1759</v>
      </c>
      <c r="B1731" t="s">
        <v>8</v>
      </c>
      <c r="C1731">
        <v>1</v>
      </c>
      <c r="D1731">
        <v>1</v>
      </c>
      <c r="E1731">
        <v>715.34</v>
      </c>
      <c r="F1731">
        <v>1</v>
      </c>
      <c r="G1731">
        <v>0</v>
      </c>
    </row>
    <row r="1732" spans="1:7" ht="14" x14ac:dyDescent="0.3">
      <c r="A1732" t="s">
        <v>1760</v>
      </c>
      <c r="B1732" t="s">
        <v>8</v>
      </c>
      <c r="C1732">
        <v>1</v>
      </c>
      <c r="D1732">
        <v>1</v>
      </c>
      <c r="E1732">
        <v>714.91</v>
      </c>
      <c r="F1732">
        <v>2</v>
      </c>
      <c r="G1732">
        <v>100</v>
      </c>
    </row>
    <row r="1733" spans="1:7" ht="14" x14ac:dyDescent="0.3">
      <c r="A1733" t="s">
        <v>1761</v>
      </c>
      <c r="B1733" t="s">
        <v>8</v>
      </c>
      <c r="C1733">
        <v>10</v>
      </c>
      <c r="D1733">
        <v>11</v>
      </c>
      <c r="E1733">
        <v>714.41</v>
      </c>
      <c r="F1733">
        <v>4.82</v>
      </c>
      <c r="G1733">
        <v>90.9</v>
      </c>
    </row>
    <row r="1734" spans="1:7" ht="14" x14ac:dyDescent="0.3">
      <c r="A1734" t="s">
        <v>1762</v>
      </c>
      <c r="B1734" t="s">
        <v>8</v>
      </c>
      <c r="C1734">
        <v>2</v>
      </c>
      <c r="D1734">
        <v>2</v>
      </c>
      <c r="E1734">
        <v>711.25</v>
      </c>
      <c r="F1734">
        <v>4.5</v>
      </c>
      <c r="G1734">
        <v>100</v>
      </c>
    </row>
    <row r="1735" spans="1:7" ht="14" x14ac:dyDescent="0.3">
      <c r="A1735" t="s">
        <v>1763</v>
      </c>
      <c r="B1735" t="s">
        <v>8</v>
      </c>
      <c r="C1735">
        <v>8</v>
      </c>
      <c r="D1735">
        <v>8</v>
      </c>
      <c r="E1735">
        <v>707.52</v>
      </c>
      <c r="F1735">
        <v>4.25</v>
      </c>
      <c r="G1735">
        <v>100</v>
      </c>
    </row>
    <row r="1736" spans="1:7" ht="14" x14ac:dyDescent="0.3">
      <c r="A1736" t="s">
        <v>1764</v>
      </c>
      <c r="B1736" t="s">
        <v>8</v>
      </c>
      <c r="C1736">
        <v>10</v>
      </c>
      <c r="D1736">
        <v>10</v>
      </c>
      <c r="E1736">
        <v>705.56</v>
      </c>
      <c r="F1736">
        <v>4</v>
      </c>
      <c r="G1736">
        <v>100</v>
      </c>
    </row>
    <row r="1737" spans="1:7" ht="14" x14ac:dyDescent="0.3">
      <c r="A1737" t="s">
        <v>1765</v>
      </c>
      <c r="B1737" t="s">
        <v>32</v>
      </c>
      <c r="C1737">
        <v>14</v>
      </c>
      <c r="D1737">
        <v>14</v>
      </c>
      <c r="E1737">
        <v>704.42</v>
      </c>
      <c r="F1737">
        <v>4.07</v>
      </c>
      <c r="G1737">
        <v>92.9</v>
      </c>
    </row>
    <row r="1738" spans="1:7" ht="14" x14ac:dyDescent="0.3">
      <c r="A1738" t="s">
        <v>1766</v>
      </c>
      <c r="B1738" t="s">
        <v>8</v>
      </c>
      <c r="C1738">
        <v>15</v>
      </c>
      <c r="D1738">
        <v>16</v>
      </c>
      <c r="E1738">
        <v>702.94</v>
      </c>
      <c r="F1738">
        <v>3.88</v>
      </c>
      <c r="G1738">
        <v>100</v>
      </c>
    </row>
    <row r="1739" spans="1:7" ht="14" x14ac:dyDescent="0.3">
      <c r="A1739" t="s">
        <v>1767</v>
      </c>
      <c r="B1739" t="s">
        <v>32</v>
      </c>
      <c r="C1739">
        <v>7</v>
      </c>
      <c r="D1739">
        <v>7</v>
      </c>
      <c r="E1739">
        <v>702.06</v>
      </c>
      <c r="F1739">
        <v>4.43</v>
      </c>
      <c r="G1739">
        <v>100</v>
      </c>
    </row>
    <row r="1740" spans="1:7" ht="14" x14ac:dyDescent="0.3">
      <c r="A1740" t="s">
        <v>1768</v>
      </c>
      <c r="B1740" t="s">
        <v>8</v>
      </c>
      <c r="C1740">
        <v>14</v>
      </c>
      <c r="D1740">
        <v>14</v>
      </c>
      <c r="E1740">
        <v>700.97</v>
      </c>
      <c r="F1740">
        <v>4.43</v>
      </c>
      <c r="G1740">
        <v>100</v>
      </c>
    </row>
    <row r="1741" spans="1:7" ht="14" x14ac:dyDescent="0.3">
      <c r="A1741" t="s">
        <v>1769</v>
      </c>
      <c r="B1741" t="s">
        <v>32</v>
      </c>
      <c r="C1741">
        <v>6</v>
      </c>
      <c r="D1741">
        <v>6</v>
      </c>
      <c r="E1741">
        <v>700.95</v>
      </c>
      <c r="F1741">
        <v>4.67</v>
      </c>
      <c r="G1741">
        <v>100</v>
      </c>
    </row>
    <row r="1742" spans="1:7" ht="14" x14ac:dyDescent="0.3">
      <c r="A1742" t="s">
        <v>1770</v>
      </c>
      <c r="B1742" t="s">
        <v>32</v>
      </c>
      <c r="C1742">
        <v>8</v>
      </c>
      <c r="D1742">
        <v>9</v>
      </c>
      <c r="E1742">
        <v>700.7</v>
      </c>
      <c r="F1742">
        <v>4.78</v>
      </c>
      <c r="G1742">
        <v>100</v>
      </c>
    </row>
    <row r="1743" spans="1:7" ht="14" x14ac:dyDescent="0.3">
      <c r="A1743" t="s">
        <v>1771</v>
      </c>
      <c r="B1743" t="s">
        <v>22</v>
      </c>
      <c r="C1743">
        <v>4</v>
      </c>
      <c r="D1743">
        <v>4</v>
      </c>
      <c r="E1743">
        <v>699.77</v>
      </c>
      <c r="F1743">
        <v>4.5</v>
      </c>
      <c r="G1743">
        <v>75</v>
      </c>
    </row>
    <row r="1744" spans="1:7" ht="14" x14ac:dyDescent="0.3">
      <c r="A1744" t="s">
        <v>1772</v>
      </c>
      <c r="B1744" t="s">
        <v>8</v>
      </c>
      <c r="C1744">
        <v>6</v>
      </c>
      <c r="D1744">
        <v>6</v>
      </c>
      <c r="E1744">
        <v>699.74</v>
      </c>
      <c r="F1744">
        <v>4.17</v>
      </c>
      <c r="G1744">
        <v>100</v>
      </c>
    </row>
    <row r="1745" spans="1:7" ht="14" x14ac:dyDescent="0.3">
      <c r="A1745" t="s">
        <v>1773</v>
      </c>
      <c r="B1745" t="s">
        <v>8</v>
      </c>
      <c r="C1745">
        <v>4</v>
      </c>
      <c r="D1745">
        <v>8</v>
      </c>
      <c r="E1745">
        <v>699.06</v>
      </c>
      <c r="F1745">
        <v>4.38</v>
      </c>
      <c r="G1745">
        <v>100</v>
      </c>
    </row>
    <row r="1746" spans="1:7" ht="14" x14ac:dyDescent="0.3">
      <c r="A1746" t="s">
        <v>1774</v>
      </c>
      <c r="B1746" t="s">
        <v>8</v>
      </c>
      <c r="C1746">
        <v>2</v>
      </c>
      <c r="D1746">
        <v>3</v>
      </c>
      <c r="E1746">
        <v>696.01</v>
      </c>
      <c r="F1746">
        <v>4.67</v>
      </c>
      <c r="G1746">
        <v>100</v>
      </c>
    </row>
    <row r="1747" spans="1:7" ht="14" x14ac:dyDescent="0.3">
      <c r="A1747" t="s">
        <v>1775</v>
      </c>
      <c r="B1747" t="s">
        <v>8</v>
      </c>
      <c r="C1747">
        <v>7</v>
      </c>
      <c r="D1747">
        <v>8</v>
      </c>
      <c r="E1747">
        <v>695.7</v>
      </c>
      <c r="F1747">
        <v>4.25</v>
      </c>
      <c r="G1747">
        <v>87.5</v>
      </c>
    </row>
    <row r="1748" spans="1:7" ht="14" x14ac:dyDescent="0.3">
      <c r="A1748" t="s">
        <v>1776</v>
      </c>
      <c r="B1748" t="s">
        <v>1413</v>
      </c>
      <c r="C1748">
        <v>5</v>
      </c>
      <c r="D1748">
        <v>5</v>
      </c>
      <c r="E1748">
        <v>695.59</v>
      </c>
      <c r="F1748">
        <v>3.2</v>
      </c>
      <c r="G1748">
        <v>100</v>
      </c>
    </row>
    <row r="1749" spans="1:7" ht="14" x14ac:dyDescent="0.3">
      <c r="A1749" t="s">
        <v>1777</v>
      </c>
      <c r="B1749" t="s">
        <v>42</v>
      </c>
      <c r="C1749">
        <v>2</v>
      </c>
      <c r="D1749">
        <v>2</v>
      </c>
      <c r="E1749">
        <v>695.03</v>
      </c>
      <c r="F1749">
        <v>4</v>
      </c>
      <c r="G1749">
        <v>100</v>
      </c>
    </row>
    <row r="1750" spans="1:7" ht="14" x14ac:dyDescent="0.3">
      <c r="A1750" t="s">
        <v>1778</v>
      </c>
      <c r="B1750" t="s">
        <v>8</v>
      </c>
      <c r="C1750">
        <v>6</v>
      </c>
      <c r="D1750">
        <v>6</v>
      </c>
      <c r="E1750">
        <v>694.01</v>
      </c>
      <c r="F1750">
        <v>3.67</v>
      </c>
      <c r="G1750">
        <v>83.3</v>
      </c>
    </row>
    <row r="1751" spans="1:7" ht="14" x14ac:dyDescent="0.3">
      <c r="A1751" t="s">
        <v>1779</v>
      </c>
      <c r="B1751" t="s">
        <v>8</v>
      </c>
      <c r="C1751">
        <v>4</v>
      </c>
      <c r="D1751">
        <v>9</v>
      </c>
      <c r="E1751">
        <v>691.7</v>
      </c>
      <c r="F1751">
        <v>3.11</v>
      </c>
      <c r="G1751">
        <v>100</v>
      </c>
    </row>
    <row r="1752" spans="1:7" ht="14" x14ac:dyDescent="0.3">
      <c r="A1752" t="s">
        <v>1780</v>
      </c>
      <c r="B1752" t="s">
        <v>8</v>
      </c>
      <c r="C1752">
        <v>11</v>
      </c>
      <c r="D1752">
        <v>12</v>
      </c>
      <c r="E1752">
        <v>691.09</v>
      </c>
      <c r="F1752">
        <v>4.18</v>
      </c>
      <c r="G1752">
        <v>91.7</v>
      </c>
    </row>
    <row r="1753" spans="1:7" ht="14" x14ac:dyDescent="0.3">
      <c r="A1753" t="s">
        <v>1781</v>
      </c>
      <c r="B1753" t="s">
        <v>8</v>
      </c>
      <c r="C1753">
        <v>5</v>
      </c>
      <c r="D1753">
        <v>17</v>
      </c>
      <c r="E1753">
        <v>688.61</v>
      </c>
      <c r="F1753">
        <v>2.29</v>
      </c>
      <c r="G1753">
        <v>100</v>
      </c>
    </row>
    <row r="1754" spans="1:7" ht="14" x14ac:dyDescent="0.3">
      <c r="A1754" t="s">
        <v>1782</v>
      </c>
      <c r="B1754" t="s">
        <v>8</v>
      </c>
      <c r="C1754">
        <v>4</v>
      </c>
      <c r="D1754">
        <v>4</v>
      </c>
      <c r="E1754">
        <v>687.95</v>
      </c>
      <c r="F1754">
        <v>4.75</v>
      </c>
      <c r="G1754">
        <v>100</v>
      </c>
    </row>
    <row r="1755" spans="1:7" ht="14" x14ac:dyDescent="0.3">
      <c r="A1755" t="s">
        <v>1783</v>
      </c>
      <c r="B1755" t="s">
        <v>42</v>
      </c>
      <c r="C1755">
        <v>8</v>
      </c>
      <c r="D1755">
        <v>8</v>
      </c>
      <c r="E1755">
        <v>687.33</v>
      </c>
      <c r="F1755">
        <v>4.13</v>
      </c>
      <c r="G1755">
        <v>100</v>
      </c>
    </row>
    <row r="1756" spans="1:7" ht="14" x14ac:dyDescent="0.3">
      <c r="A1756" t="s">
        <v>1784</v>
      </c>
      <c r="B1756" t="s">
        <v>8</v>
      </c>
      <c r="C1756">
        <v>8</v>
      </c>
      <c r="D1756">
        <v>10</v>
      </c>
      <c r="E1756">
        <v>685.35</v>
      </c>
      <c r="F1756">
        <v>4.5</v>
      </c>
      <c r="G1756">
        <v>100</v>
      </c>
    </row>
    <row r="1757" spans="1:7" ht="14" x14ac:dyDescent="0.3">
      <c r="A1757" t="s">
        <v>1785</v>
      </c>
      <c r="B1757" t="s">
        <v>32</v>
      </c>
      <c r="C1757">
        <v>12</v>
      </c>
      <c r="D1757">
        <v>13</v>
      </c>
      <c r="E1757">
        <v>681.7</v>
      </c>
      <c r="F1757">
        <v>4.6900000000000004</v>
      </c>
      <c r="G1757">
        <v>100</v>
      </c>
    </row>
    <row r="1758" spans="1:7" ht="14" x14ac:dyDescent="0.3">
      <c r="A1758" t="s">
        <v>1786</v>
      </c>
      <c r="B1758" t="s">
        <v>22</v>
      </c>
      <c r="C1758">
        <v>9</v>
      </c>
      <c r="D1758">
        <v>9</v>
      </c>
      <c r="E1758">
        <v>681.27</v>
      </c>
      <c r="F1758">
        <v>2.89</v>
      </c>
      <c r="G1758">
        <v>100</v>
      </c>
    </row>
    <row r="1759" spans="1:7" ht="14" x14ac:dyDescent="0.3">
      <c r="A1759" t="s">
        <v>1787</v>
      </c>
      <c r="B1759" t="s">
        <v>8</v>
      </c>
      <c r="C1759">
        <v>8</v>
      </c>
      <c r="D1759">
        <v>10</v>
      </c>
      <c r="E1759">
        <v>681.01</v>
      </c>
      <c r="F1759">
        <v>4.0999999999999996</v>
      </c>
      <c r="G1759">
        <v>90</v>
      </c>
    </row>
    <row r="1760" spans="1:7" ht="14" x14ac:dyDescent="0.3">
      <c r="A1760" t="s">
        <v>1788</v>
      </c>
      <c r="B1760" t="s">
        <v>24</v>
      </c>
      <c r="C1760">
        <v>1</v>
      </c>
      <c r="D1760">
        <v>2</v>
      </c>
      <c r="E1760">
        <v>680.96</v>
      </c>
      <c r="F1760">
        <v>5</v>
      </c>
      <c r="G1760">
        <v>100</v>
      </c>
    </row>
    <row r="1761" spans="1:7" ht="14" x14ac:dyDescent="0.3">
      <c r="A1761" t="s">
        <v>1789</v>
      </c>
      <c r="B1761" t="s">
        <v>8</v>
      </c>
      <c r="C1761">
        <v>6</v>
      </c>
      <c r="D1761">
        <v>6</v>
      </c>
      <c r="E1761">
        <v>677.13</v>
      </c>
      <c r="F1761">
        <v>4.33</v>
      </c>
      <c r="G1761">
        <v>100</v>
      </c>
    </row>
    <row r="1762" spans="1:7" ht="14" x14ac:dyDescent="0.3">
      <c r="A1762" t="s">
        <v>1790</v>
      </c>
      <c r="B1762" t="s">
        <v>8</v>
      </c>
      <c r="C1762">
        <v>3</v>
      </c>
      <c r="D1762">
        <v>3</v>
      </c>
      <c r="E1762">
        <v>676.01</v>
      </c>
      <c r="F1762">
        <v>3.67</v>
      </c>
      <c r="G1762">
        <v>100</v>
      </c>
    </row>
    <row r="1763" spans="1:7" ht="14" x14ac:dyDescent="0.3">
      <c r="A1763" t="s">
        <v>1791</v>
      </c>
      <c r="B1763" t="s">
        <v>8</v>
      </c>
      <c r="C1763">
        <v>1</v>
      </c>
      <c r="D1763">
        <v>1</v>
      </c>
      <c r="E1763">
        <v>674.83</v>
      </c>
      <c r="F1763">
        <v>5</v>
      </c>
      <c r="G1763">
        <v>100</v>
      </c>
    </row>
    <row r="1764" spans="1:7" ht="14" x14ac:dyDescent="0.3">
      <c r="A1764" t="s">
        <v>1792</v>
      </c>
      <c r="B1764" t="s">
        <v>8</v>
      </c>
      <c r="C1764">
        <v>5</v>
      </c>
      <c r="D1764">
        <v>5</v>
      </c>
      <c r="E1764">
        <v>674.33</v>
      </c>
      <c r="F1764">
        <v>3.8</v>
      </c>
      <c r="G1764">
        <v>80</v>
      </c>
    </row>
    <row r="1765" spans="1:7" ht="14" x14ac:dyDescent="0.3">
      <c r="A1765" t="s">
        <v>1793</v>
      </c>
      <c r="B1765" t="s">
        <v>87</v>
      </c>
      <c r="C1765">
        <v>6</v>
      </c>
      <c r="D1765">
        <v>6</v>
      </c>
      <c r="E1765">
        <v>674.15</v>
      </c>
      <c r="F1765">
        <v>3</v>
      </c>
      <c r="G1765">
        <v>83.3</v>
      </c>
    </row>
    <row r="1766" spans="1:7" ht="14" x14ac:dyDescent="0.3">
      <c r="A1766" t="s">
        <v>1794</v>
      </c>
      <c r="B1766" t="s">
        <v>32</v>
      </c>
      <c r="C1766">
        <v>2</v>
      </c>
      <c r="D1766">
        <v>2</v>
      </c>
      <c r="E1766">
        <v>672.55</v>
      </c>
      <c r="F1766">
        <v>3.5</v>
      </c>
      <c r="G1766">
        <v>100</v>
      </c>
    </row>
    <row r="1767" spans="1:7" ht="14" x14ac:dyDescent="0.3">
      <c r="A1767" t="s">
        <v>1795</v>
      </c>
      <c r="B1767" t="s">
        <v>8</v>
      </c>
      <c r="C1767">
        <v>2</v>
      </c>
      <c r="D1767">
        <v>2</v>
      </c>
      <c r="E1767">
        <v>670.98</v>
      </c>
      <c r="F1767">
        <v>2</v>
      </c>
      <c r="G1767">
        <v>0</v>
      </c>
    </row>
    <row r="1768" spans="1:7" ht="14" x14ac:dyDescent="0.3">
      <c r="A1768" t="s">
        <v>1796</v>
      </c>
      <c r="B1768" t="s">
        <v>8</v>
      </c>
      <c r="C1768">
        <v>11</v>
      </c>
      <c r="D1768">
        <v>11</v>
      </c>
      <c r="E1768">
        <v>669.18</v>
      </c>
      <c r="F1768">
        <v>4.2699999999999996</v>
      </c>
      <c r="G1768">
        <v>100</v>
      </c>
    </row>
    <row r="1769" spans="1:7" ht="14" x14ac:dyDescent="0.3">
      <c r="A1769" t="s">
        <v>1797</v>
      </c>
      <c r="B1769" t="s">
        <v>32</v>
      </c>
      <c r="C1769">
        <v>33</v>
      </c>
      <c r="D1769">
        <v>34</v>
      </c>
      <c r="E1769">
        <v>666</v>
      </c>
      <c r="F1769">
        <v>5</v>
      </c>
      <c r="G1769">
        <v>100</v>
      </c>
    </row>
    <row r="1770" spans="1:7" ht="14" x14ac:dyDescent="0.3">
      <c r="A1770" t="s">
        <v>1798</v>
      </c>
      <c r="B1770" t="s">
        <v>8</v>
      </c>
      <c r="C1770">
        <v>4</v>
      </c>
      <c r="D1770">
        <v>4</v>
      </c>
      <c r="E1770">
        <v>665.46</v>
      </c>
      <c r="F1770">
        <v>4.5</v>
      </c>
      <c r="G1770">
        <v>100</v>
      </c>
    </row>
    <row r="1771" spans="1:7" ht="14" x14ac:dyDescent="0.3">
      <c r="A1771" t="s">
        <v>1799</v>
      </c>
      <c r="B1771" t="s">
        <v>22</v>
      </c>
      <c r="C1771">
        <v>17</v>
      </c>
      <c r="D1771">
        <v>17</v>
      </c>
      <c r="E1771">
        <v>663.72</v>
      </c>
      <c r="F1771">
        <v>3.18</v>
      </c>
      <c r="G1771">
        <v>94.1</v>
      </c>
    </row>
    <row r="1772" spans="1:7" ht="14" x14ac:dyDescent="0.3">
      <c r="A1772" t="s">
        <v>1800</v>
      </c>
      <c r="B1772" t="s">
        <v>152</v>
      </c>
      <c r="C1772">
        <v>13</v>
      </c>
      <c r="D1772">
        <v>13</v>
      </c>
      <c r="E1772">
        <v>663.71</v>
      </c>
      <c r="F1772">
        <v>4.38</v>
      </c>
      <c r="G1772">
        <v>100</v>
      </c>
    </row>
    <row r="1773" spans="1:7" ht="14" x14ac:dyDescent="0.3">
      <c r="A1773" t="s">
        <v>1801</v>
      </c>
      <c r="B1773" t="s">
        <v>152</v>
      </c>
      <c r="C1773">
        <v>4</v>
      </c>
      <c r="D1773">
        <v>5</v>
      </c>
      <c r="E1773">
        <v>661.81</v>
      </c>
      <c r="F1773">
        <v>4.2</v>
      </c>
      <c r="G1773">
        <v>80</v>
      </c>
    </row>
    <row r="1774" spans="1:7" ht="14" x14ac:dyDescent="0.3">
      <c r="A1774" t="s">
        <v>1802</v>
      </c>
      <c r="B1774" t="s">
        <v>87</v>
      </c>
      <c r="C1774">
        <v>2</v>
      </c>
      <c r="D1774">
        <v>2</v>
      </c>
      <c r="E1774">
        <v>659.72</v>
      </c>
      <c r="F1774">
        <v>5</v>
      </c>
      <c r="G1774">
        <v>100</v>
      </c>
    </row>
    <row r="1775" spans="1:7" ht="14" x14ac:dyDescent="0.3">
      <c r="A1775" t="s">
        <v>1803</v>
      </c>
      <c r="B1775" t="s">
        <v>42</v>
      </c>
      <c r="C1775">
        <v>8</v>
      </c>
      <c r="D1775">
        <v>9</v>
      </c>
      <c r="E1775">
        <v>657.8</v>
      </c>
      <c r="F1775">
        <v>4.22</v>
      </c>
      <c r="G1775">
        <v>100</v>
      </c>
    </row>
    <row r="1776" spans="1:7" ht="14" x14ac:dyDescent="0.3">
      <c r="A1776" s="1" t="s">
        <v>1804</v>
      </c>
      <c r="B1776" t="s">
        <v>8</v>
      </c>
      <c r="C1776">
        <v>3</v>
      </c>
      <c r="D1776">
        <v>6</v>
      </c>
      <c r="E1776">
        <v>655.96</v>
      </c>
      <c r="F1776">
        <v>1.67</v>
      </c>
      <c r="G1776">
        <v>100</v>
      </c>
    </row>
    <row r="1777" spans="1:7" ht="14" x14ac:dyDescent="0.3">
      <c r="A1777" t="s">
        <v>1805</v>
      </c>
      <c r="B1777" t="s">
        <v>8</v>
      </c>
      <c r="C1777">
        <v>7</v>
      </c>
      <c r="D1777">
        <v>7</v>
      </c>
      <c r="E1777">
        <v>655.5</v>
      </c>
      <c r="F1777">
        <v>4.8600000000000003</v>
      </c>
      <c r="G1777">
        <v>100</v>
      </c>
    </row>
    <row r="1778" spans="1:7" ht="14" x14ac:dyDescent="0.3">
      <c r="A1778" s="1" t="s">
        <v>1806</v>
      </c>
      <c r="B1778" t="s">
        <v>8</v>
      </c>
      <c r="C1778">
        <v>9</v>
      </c>
      <c r="D1778">
        <v>11</v>
      </c>
      <c r="E1778">
        <v>654.9</v>
      </c>
      <c r="F1778">
        <v>3.64</v>
      </c>
      <c r="G1778">
        <v>90.9</v>
      </c>
    </row>
    <row r="1779" spans="1:7" ht="14" x14ac:dyDescent="0.3">
      <c r="A1779" t="s">
        <v>1807</v>
      </c>
      <c r="B1779" t="s">
        <v>8</v>
      </c>
      <c r="C1779">
        <v>19</v>
      </c>
      <c r="D1779">
        <v>19</v>
      </c>
      <c r="E1779">
        <v>654.44000000000005</v>
      </c>
      <c r="F1779">
        <v>4</v>
      </c>
      <c r="G1779">
        <v>100</v>
      </c>
    </row>
    <row r="1780" spans="1:7" ht="14" x14ac:dyDescent="0.3">
      <c r="A1780" t="s">
        <v>1808</v>
      </c>
      <c r="B1780" t="s">
        <v>32</v>
      </c>
      <c r="C1780">
        <v>8</v>
      </c>
      <c r="D1780">
        <v>9</v>
      </c>
      <c r="E1780">
        <v>653.29</v>
      </c>
      <c r="F1780">
        <v>4.4400000000000004</v>
      </c>
      <c r="G1780">
        <v>100</v>
      </c>
    </row>
    <row r="1781" spans="1:7" ht="14" x14ac:dyDescent="0.3">
      <c r="A1781" t="s">
        <v>1809</v>
      </c>
      <c r="B1781" t="s">
        <v>8</v>
      </c>
      <c r="C1781">
        <v>12</v>
      </c>
      <c r="D1781">
        <v>16</v>
      </c>
      <c r="E1781">
        <v>651.77</v>
      </c>
      <c r="F1781">
        <v>4.8099999999999996</v>
      </c>
      <c r="G1781">
        <v>87.5</v>
      </c>
    </row>
    <row r="1782" spans="1:7" ht="14" x14ac:dyDescent="0.3">
      <c r="A1782" t="s">
        <v>1810</v>
      </c>
      <c r="B1782" t="s">
        <v>32</v>
      </c>
      <c r="C1782">
        <v>7</v>
      </c>
      <c r="D1782">
        <v>7</v>
      </c>
      <c r="E1782">
        <v>649.97</v>
      </c>
      <c r="F1782">
        <v>4.8600000000000003</v>
      </c>
      <c r="G1782">
        <v>100</v>
      </c>
    </row>
    <row r="1783" spans="1:7" ht="14" x14ac:dyDescent="0.3">
      <c r="A1783" t="s">
        <v>1811</v>
      </c>
      <c r="B1783" t="s">
        <v>87</v>
      </c>
      <c r="C1783">
        <v>3</v>
      </c>
      <c r="D1783">
        <v>3</v>
      </c>
      <c r="E1783">
        <v>649.54999999999995</v>
      </c>
      <c r="F1783">
        <v>4.67</v>
      </c>
      <c r="G1783">
        <v>100</v>
      </c>
    </row>
    <row r="1784" spans="1:7" ht="14" x14ac:dyDescent="0.3">
      <c r="A1784" t="s">
        <v>1812</v>
      </c>
      <c r="B1784" t="s">
        <v>8</v>
      </c>
      <c r="C1784">
        <v>14</v>
      </c>
      <c r="D1784">
        <v>14</v>
      </c>
      <c r="E1784">
        <v>647.75</v>
      </c>
      <c r="F1784">
        <v>4</v>
      </c>
      <c r="G1784">
        <v>92.9</v>
      </c>
    </row>
    <row r="1785" spans="1:7" ht="14" x14ac:dyDescent="0.3">
      <c r="A1785" t="s">
        <v>1813</v>
      </c>
      <c r="B1785" t="s">
        <v>8</v>
      </c>
      <c r="C1785">
        <v>7</v>
      </c>
      <c r="D1785">
        <v>7</v>
      </c>
      <c r="E1785">
        <v>646.62</v>
      </c>
      <c r="F1785">
        <v>4.5</v>
      </c>
      <c r="G1785">
        <v>85.7</v>
      </c>
    </row>
    <row r="1786" spans="1:7" ht="14" x14ac:dyDescent="0.3">
      <c r="A1786" t="s">
        <v>1814</v>
      </c>
      <c r="B1786" t="s">
        <v>32</v>
      </c>
      <c r="C1786">
        <v>3</v>
      </c>
      <c r="D1786">
        <v>3</v>
      </c>
      <c r="E1786">
        <v>645.97</v>
      </c>
      <c r="F1786">
        <v>3</v>
      </c>
      <c r="G1786">
        <v>100</v>
      </c>
    </row>
    <row r="1787" spans="1:7" ht="14" x14ac:dyDescent="0.3">
      <c r="A1787" t="s">
        <v>1815</v>
      </c>
      <c r="B1787" t="s">
        <v>8</v>
      </c>
      <c r="C1787">
        <v>5</v>
      </c>
      <c r="D1787">
        <v>6</v>
      </c>
      <c r="E1787">
        <v>644.02</v>
      </c>
      <c r="F1787">
        <v>4.83</v>
      </c>
      <c r="G1787">
        <v>100</v>
      </c>
    </row>
    <row r="1788" spans="1:7" ht="14" x14ac:dyDescent="0.3">
      <c r="A1788" t="s">
        <v>1816</v>
      </c>
      <c r="B1788" t="s">
        <v>32</v>
      </c>
      <c r="C1788">
        <v>6</v>
      </c>
      <c r="D1788">
        <v>9</v>
      </c>
      <c r="E1788">
        <v>643.32000000000005</v>
      </c>
      <c r="F1788">
        <v>4.78</v>
      </c>
      <c r="G1788">
        <v>100</v>
      </c>
    </row>
    <row r="1789" spans="1:7" ht="14" x14ac:dyDescent="0.3">
      <c r="A1789" t="s">
        <v>1817</v>
      </c>
      <c r="B1789" t="s">
        <v>8</v>
      </c>
      <c r="C1789">
        <v>6</v>
      </c>
      <c r="D1789">
        <v>6</v>
      </c>
      <c r="E1789">
        <v>640.36</v>
      </c>
      <c r="F1789">
        <v>4.67</v>
      </c>
      <c r="G1789">
        <v>100</v>
      </c>
    </row>
    <row r="1790" spans="1:7" ht="14" x14ac:dyDescent="0.3">
      <c r="A1790" t="s">
        <v>1818</v>
      </c>
      <c r="B1790" t="s">
        <v>42</v>
      </c>
      <c r="C1790">
        <v>1</v>
      </c>
      <c r="D1790">
        <v>2</v>
      </c>
      <c r="E1790">
        <v>638.58000000000004</v>
      </c>
      <c r="F1790">
        <v>4</v>
      </c>
      <c r="G1790">
        <v>100</v>
      </c>
    </row>
    <row r="1791" spans="1:7" ht="14" x14ac:dyDescent="0.3">
      <c r="A1791" t="s">
        <v>1819</v>
      </c>
      <c r="B1791" t="s">
        <v>8</v>
      </c>
      <c r="C1791">
        <v>9</v>
      </c>
      <c r="D1791">
        <v>9</v>
      </c>
      <c r="E1791">
        <v>638.13</v>
      </c>
      <c r="F1791">
        <v>4.78</v>
      </c>
      <c r="G1791">
        <v>100</v>
      </c>
    </row>
    <row r="1792" spans="1:7" ht="14" x14ac:dyDescent="0.3">
      <c r="A1792" t="s">
        <v>1820</v>
      </c>
      <c r="B1792" t="s">
        <v>87</v>
      </c>
      <c r="C1792">
        <v>6</v>
      </c>
      <c r="D1792">
        <v>12</v>
      </c>
      <c r="E1792">
        <v>638.02</v>
      </c>
      <c r="F1792">
        <v>1.75</v>
      </c>
      <c r="G1792">
        <v>66.7</v>
      </c>
    </row>
    <row r="1793" spans="1:7" ht="14" x14ac:dyDescent="0.3">
      <c r="A1793" t="s">
        <v>1821</v>
      </c>
      <c r="B1793" t="s">
        <v>8</v>
      </c>
      <c r="C1793">
        <v>6</v>
      </c>
      <c r="D1793">
        <v>7</v>
      </c>
      <c r="E1793">
        <v>637.91</v>
      </c>
      <c r="F1793">
        <v>5</v>
      </c>
      <c r="G1793">
        <v>100</v>
      </c>
    </row>
    <row r="1794" spans="1:7" ht="14" x14ac:dyDescent="0.3">
      <c r="A1794" t="s">
        <v>1822</v>
      </c>
      <c r="B1794" t="s">
        <v>8</v>
      </c>
      <c r="C1794">
        <v>9</v>
      </c>
      <c r="D1794">
        <v>9</v>
      </c>
      <c r="E1794">
        <v>637.75</v>
      </c>
      <c r="F1794">
        <v>3.44</v>
      </c>
      <c r="G1794">
        <v>77.8</v>
      </c>
    </row>
    <row r="1795" spans="1:7" ht="14" x14ac:dyDescent="0.3">
      <c r="A1795" t="s">
        <v>1823</v>
      </c>
      <c r="B1795" t="s">
        <v>87</v>
      </c>
      <c r="C1795">
        <v>3</v>
      </c>
      <c r="D1795">
        <v>3</v>
      </c>
      <c r="E1795">
        <v>632.67999999999995</v>
      </c>
      <c r="F1795">
        <v>5</v>
      </c>
      <c r="G1795">
        <v>100</v>
      </c>
    </row>
    <row r="1796" spans="1:7" ht="14" x14ac:dyDescent="0.3">
      <c r="A1796" t="s">
        <v>1824</v>
      </c>
      <c r="B1796" t="s">
        <v>8</v>
      </c>
      <c r="C1796">
        <v>14</v>
      </c>
      <c r="D1796">
        <v>15</v>
      </c>
      <c r="E1796">
        <v>631.32000000000005</v>
      </c>
      <c r="F1796">
        <v>4.67</v>
      </c>
      <c r="G1796">
        <v>93.3</v>
      </c>
    </row>
    <row r="1797" spans="1:7" ht="14" x14ac:dyDescent="0.3">
      <c r="A1797" t="s">
        <v>1825</v>
      </c>
      <c r="B1797" t="s">
        <v>8</v>
      </c>
      <c r="C1797">
        <v>6</v>
      </c>
      <c r="D1797">
        <v>7</v>
      </c>
      <c r="E1797">
        <v>630.65</v>
      </c>
      <c r="F1797">
        <v>4.71</v>
      </c>
      <c r="G1797">
        <v>100</v>
      </c>
    </row>
    <row r="1798" spans="1:7" ht="14" x14ac:dyDescent="0.3">
      <c r="A1798" t="s">
        <v>1826</v>
      </c>
      <c r="B1798" t="s">
        <v>8</v>
      </c>
      <c r="C1798">
        <v>16</v>
      </c>
      <c r="D1798">
        <v>19</v>
      </c>
      <c r="E1798">
        <v>630.44000000000005</v>
      </c>
      <c r="F1798">
        <v>3.89</v>
      </c>
      <c r="G1798">
        <v>84.2</v>
      </c>
    </row>
    <row r="1799" spans="1:7" ht="14" x14ac:dyDescent="0.3">
      <c r="A1799" t="s">
        <v>1827</v>
      </c>
      <c r="B1799" t="s">
        <v>8</v>
      </c>
      <c r="C1799">
        <v>1</v>
      </c>
      <c r="D1799">
        <v>3</v>
      </c>
      <c r="E1799">
        <v>630.05999999999995</v>
      </c>
      <c r="F1799">
        <v>1</v>
      </c>
      <c r="G1799">
        <v>100</v>
      </c>
    </row>
    <row r="1800" spans="1:7" ht="14" x14ac:dyDescent="0.3">
      <c r="A1800" t="s">
        <v>1828</v>
      </c>
      <c r="B1800" t="s">
        <v>8</v>
      </c>
      <c r="C1800">
        <v>9</v>
      </c>
      <c r="D1800">
        <v>9</v>
      </c>
      <c r="E1800">
        <v>629.70000000000005</v>
      </c>
      <c r="F1800">
        <v>3.78</v>
      </c>
      <c r="G1800">
        <v>66.7</v>
      </c>
    </row>
    <row r="1801" spans="1:7" ht="14" x14ac:dyDescent="0.3">
      <c r="A1801" t="s">
        <v>1829</v>
      </c>
      <c r="B1801" t="s">
        <v>309</v>
      </c>
      <c r="C1801">
        <v>5</v>
      </c>
      <c r="D1801">
        <v>8</v>
      </c>
      <c r="E1801">
        <v>629.62</v>
      </c>
      <c r="F1801">
        <v>4.63</v>
      </c>
      <c r="G1801">
        <v>100</v>
      </c>
    </row>
    <row r="1802" spans="1:7" ht="14" x14ac:dyDescent="0.3">
      <c r="A1802" t="s">
        <v>1830</v>
      </c>
      <c r="B1802" t="s">
        <v>8</v>
      </c>
      <c r="C1802">
        <v>4</v>
      </c>
      <c r="D1802">
        <v>5</v>
      </c>
      <c r="E1802">
        <v>628.72</v>
      </c>
      <c r="F1802">
        <v>5</v>
      </c>
      <c r="G1802">
        <v>100</v>
      </c>
    </row>
    <row r="1803" spans="1:7" ht="14" x14ac:dyDescent="0.3">
      <c r="A1803" t="s">
        <v>1831</v>
      </c>
      <c r="B1803" t="s">
        <v>8</v>
      </c>
      <c r="C1803">
        <v>7</v>
      </c>
      <c r="D1803">
        <v>11</v>
      </c>
      <c r="E1803">
        <v>628.63</v>
      </c>
      <c r="F1803">
        <v>4</v>
      </c>
      <c r="G1803">
        <v>54.5</v>
      </c>
    </row>
    <row r="1804" spans="1:7" ht="14" x14ac:dyDescent="0.3">
      <c r="A1804" t="s">
        <v>1832</v>
      </c>
      <c r="B1804" t="s">
        <v>8</v>
      </c>
      <c r="C1804">
        <v>3</v>
      </c>
      <c r="D1804">
        <v>3</v>
      </c>
      <c r="E1804">
        <v>628.59</v>
      </c>
      <c r="F1804">
        <v>5</v>
      </c>
      <c r="G1804">
        <v>100</v>
      </c>
    </row>
    <row r="1805" spans="1:7" ht="14" x14ac:dyDescent="0.3">
      <c r="A1805" t="s">
        <v>1833</v>
      </c>
      <c r="B1805" t="s">
        <v>8</v>
      </c>
      <c r="C1805">
        <v>4</v>
      </c>
      <c r="D1805">
        <v>6</v>
      </c>
      <c r="E1805">
        <v>626.72</v>
      </c>
      <c r="F1805">
        <v>4.83</v>
      </c>
      <c r="G1805">
        <v>100</v>
      </c>
    </row>
    <row r="1806" spans="1:7" ht="14" x14ac:dyDescent="0.3">
      <c r="A1806" t="s">
        <v>1834</v>
      </c>
      <c r="B1806" t="s">
        <v>32</v>
      </c>
      <c r="C1806">
        <v>11</v>
      </c>
      <c r="D1806">
        <v>11</v>
      </c>
      <c r="E1806">
        <v>625.4</v>
      </c>
      <c r="F1806">
        <v>4.45</v>
      </c>
      <c r="G1806">
        <v>100</v>
      </c>
    </row>
    <row r="1807" spans="1:7" ht="14" x14ac:dyDescent="0.3">
      <c r="A1807" t="s">
        <v>1835</v>
      </c>
      <c r="B1807" t="s">
        <v>22</v>
      </c>
      <c r="C1807">
        <v>1</v>
      </c>
      <c r="D1807">
        <v>1</v>
      </c>
      <c r="E1807">
        <v>625.33000000000004</v>
      </c>
      <c r="F1807">
        <v>4</v>
      </c>
      <c r="G1807">
        <v>100</v>
      </c>
    </row>
    <row r="1808" spans="1:7" ht="14" x14ac:dyDescent="0.3">
      <c r="A1808" t="s">
        <v>1836</v>
      </c>
      <c r="B1808" t="s">
        <v>42</v>
      </c>
      <c r="C1808">
        <v>9</v>
      </c>
      <c r="D1808">
        <v>11</v>
      </c>
      <c r="E1808">
        <v>622.38</v>
      </c>
      <c r="F1808">
        <v>4.7300000000000004</v>
      </c>
      <c r="G1808">
        <v>100</v>
      </c>
    </row>
    <row r="1809" spans="1:7" ht="14" x14ac:dyDescent="0.3">
      <c r="A1809" t="s">
        <v>1837</v>
      </c>
      <c r="B1809" t="s">
        <v>8</v>
      </c>
      <c r="C1809">
        <v>11</v>
      </c>
      <c r="D1809">
        <v>14</v>
      </c>
      <c r="E1809">
        <v>620.49</v>
      </c>
      <c r="F1809">
        <v>3.5</v>
      </c>
      <c r="G1809">
        <v>92.9</v>
      </c>
    </row>
    <row r="1810" spans="1:7" ht="14" x14ac:dyDescent="0.3">
      <c r="A1810" t="s">
        <v>1838</v>
      </c>
      <c r="B1810" t="s">
        <v>32</v>
      </c>
      <c r="C1810">
        <v>10</v>
      </c>
      <c r="D1810">
        <v>10</v>
      </c>
      <c r="E1810">
        <v>619.14</v>
      </c>
      <c r="F1810">
        <v>3.7</v>
      </c>
      <c r="G1810">
        <v>90</v>
      </c>
    </row>
    <row r="1811" spans="1:7" ht="14" x14ac:dyDescent="0.3">
      <c r="A1811" t="s">
        <v>1839</v>
      </c>
      <c r="B1811" t="s">
        <v>24</v>
      </c>
      <c r="C1811">
        <v>8</v>
      </c>
      <c r="D1811">
        <v>8</v>
      </c>
      <c r="E1811">
        <v>617.88</v>
      </c>
      <c r="F1811">
        <v>4.38</v>
      </c>
      <c r="G1811">
        <v>100</v>
      </c>
    </row>
    <row r="1812" spans="1:7" ht="14" x14ac:dyDescent="0.3">
      <c r="A1812" t="s">
        <v>1840</v>
      </c>
      <c r="B1812" t="s">
        <v>42</v>
      </c>
      <c r="C1812">
        <v>5</v>
      </c>
      <c r="D1812">
        <v>6</v>
      </c>
      <c r="E1812">
        <v>615.57000000000005</v>
      </c>
      <c r="F1812">
        <v>4.83</v>
      </c>
      <c r="G1812">
        <v>100</v>
      </c>
    </row>
    <row r="1813" spans="1:7" ht="14" x14ac:dyDescent="0.3">
      <c r="A1813" t="s">
        <v>1841</v>
      </c>
      <c r="B1813" t="s">
        <v>8</v>
      </c>
      <c r="C1813">
        <v>7</v>
      </c>
      <c r="D1813">
        <v>7</v>
      </c>
      <c r="E1813">
        <v>615.41</v>
      </c>
      <c r="F1813">
        <v>3.14</v>
      </c>
      <c r="G1813">
        <v>42.9</v>
      </c>
    </row>
    <row r="1814" spans="1:7" ht="14" x14ac:dyDescent="0.3">
      <c r="A1814" t="s">
        <v>1842</v>
      </c>
      <c r="B1814" t="s">
        <v>32</v>
      </c>
      <c r="C1814">
        <v>4</v>
      </c>
      <c r="D1814">
        <v>4</v>
      </c>
      <c r="E1814">
        <v>612.39</v>
      </c>
      <c r="F1814">
        <v>4</v>
      </c>
      <c r="G1814">
        <v>100</v>
      </c>
    </row>
    <row r="1815" spans="1:7" ht="14" x14ac:dyDescent="0.3">
      <c r="A1815" t="s">
        <v>1843</v>
      </c>
      <c r="B1815" t="s">
        <v>8</v>
      </c>
      <c r="C1815">
        <v>2</v>
      </c>
      <c r="D1815">
        <v>3</v>
      </c>
      <c r="E1815">
        <v>611.54999999999995</v>
      </c>
      <c r="F1815">
        <v>2.33</v>
      </c>
      <c r="G1815">
        <v>100</v>
      </c>
    </row>
    <row r="1816" spans="1:7" ht="14" x14ac:dyDescent="0.3">
      <c r="A1816" t="s">
        <v>1844</v>
      </c>
      <c r="B1816" t="s">
        <v>87</v>
      </c>
      <c r="C1816">
        <v>1</v>
      </c>
      <c r="D1816">
        <v>2</v>
      </c>
      <c r="E1816">
        <v>609.5</v>
      </c>
      <c r="F1816">
        <v>1</v>
      </c>
      <c r="G1816">
        <v>0</v>
      </c>
    </row>
    <row r="1817" spans="1:7" ht="14" x14ac:dyDescent="0.3">
      <c r="A1817" t="s">
        <v>1845</v>
      </c>
      <c r="B1817" t="s">
        <v>8</v>
      </c>
      <c r="C1817">
        <v>7</v>
      </c>
      <c r="D1817">
        <v>9</v>
      </c>
      <c r="E1817">
        <v>608.35</v>
      </c>
      <c r="F1817">
        <v>3.78</v>
      </c>
      <c r="G1817">
        <v>77.8</v>
      </c>
    </row>
    <row r="1818" spans="1:7" ht="14" x14ac:dyDescent="0.3">
      <c r="A1818" t="s">
        <v>1846</v>
      </c>
      <c r="B1818" t="s">
        <v>12</v>
      </c>
      <c r="C1818">
        <v>5</v>
      </c>
      <c r="D1818">
        <v>5</v>
      </c>
      <c r="E1818">
        <v>606.96</v>
      </c>
      <c r="F1818">
        <v>3.6</v>
      </c>
      <c r="G1818">
        <v>100</v>
      </c>
    </row>
    <row r="1819" spans="1:7" ht="14" x14ac:dyDescent="0.3">
      <c r="A1819" t="s">
        <v>1847</v>
      </c>
      <c r="B1819" t="s">
        <v>24</v>
      </c>
      <c r="C1819">
        <v>8</v>
      </c>
      <c r="D1819">
        <v>8</v>
      </c>
      <c r="E1819">
        <v>606.92999999999995</v>
      </c>
      <c r="F1819">
        <v>4.75</v>
      </c>
      <c r="G1819">
        <v>100</v>
      </c>
    </row>
    <row r="1820" spans="1:7" ht="14" x14ac:dyDescent="0.3">
      <c r="A1820" t="s">
        <v>1848</v>
      </c>
      <c r="B1820" t="s">
        <v>8</v>
      </c>
      <c r="C1820">
        <v>12</v>
      </c>
      <c r="D1820">
        <v>12</v>
      </c>
      <c r="E1820">
        <v>606.79</v>
      </c>
      <c r="F1820">
        <v>4.45</v>
      </c>
      <c r="G1820">
        <v>100</v>
      </c>
    </row>
    <row r="1821" spans="1:7" ht="14" x14ac:dyDescent="0.3">
      <c r="A1821" t="s">
        <v>1849</v>
      </c>
      <c r="B1821" t="s">
        <v>87</v>
      </c>
      <c r="C1821">
        <v>2</v>
      </c>
      <c r="D1821">
        <v>2</v>
      </c>
      <c r="E1821">
        <v>606.45000000000005</v>
      </c>
      <c r="F1821">
        <v>4.5</v>
      </c>
      <c r="G1821">
        <v>100</v>
      </c>
    </row>
    <row r="1822" spans="1:7" ht="14" x14ac:dyDescent="0.3">
      <c r="A1822" t="s">
        <v>1850</v>
      </c>
      <c r="B1822" t="s">
        <v>24</v>
      </c>
      <c r="C1822">
        <v>1</v>
      </c>
      <c r="D1822">
        <v>1</v>
      </c>
      <c r="E1822">
        <v>605.57000000000005</v>
      </c>
      <c r="F1822">
        <v>5</v>
      </c>
      <c r="G1822">
        <v>100</v>
      </c>
    </row>
    <row r="1823" spans="1:7" ht="14" x14ac:dyDescent="0.3">
      <c r="A1823" t="s">
        <v>1851</v>
      </c>
      <c r="B1823" t="s">
        <v>8</v>
      </c>
      <c r="C1823">
        <v>6</v>
      </c>
      <c r="D1823">
        <v>13</v>
      </c>
      <c r="E1823">
        <v>603.72</v>
      </c>
      <c r="F1823">
        <v>4.1500000000000004</v>
      </c>
      <c r="G1823">
        <v>100</v>
      </c>
    </row>
    <row r="1824" spans="1:7" ht="14" x14ac:dyDescent="0.3">
      <c r="A1824" t="s">
        <v>1852</v>
      </c>
      <c r="B1824" t="s">
        <v>8</v>
      </c>
      <c r="C1824">
        <v>9</v>
      </c>
      <c r="D1824">
        <v>10</v>
      </c>
      <c r="E1824">
        <v>599.13</v>
      </c>
      <c r="F1824">
        <v>4.5</v>
      </c>
      <c r="G1824">
        <v>70</v>
      </c>
    </row>
    <row r="1825" spans="1:7" ht="14" x14ac:dyDescent="0.3">
      <c r="A1825" t="s">
        <v>1853</v>
      </c>
      <c r="B1825" t="s">
        <v>8</v>
      </c>
      <c r="C1825">
        <v>5</v>
      </c>
      <c r="D1825">
        <v>5</v>
      </c>
      <c r="E1825">
        <v>598.87</v>
      </c>
      <c r="F1825">
        <v>4.8</v>
      </c>
      <c r="G1825">
        <v>100</v>
      </c>
    </row>
    <row r="1826" spans="1:7" ht="14" x14ac:dyDescent="0.3">
      <c r="A1826" t="s">
        <v>1854</v>
      </c>
      <c r="B1826" t="s">
        <v>8</v>
      </c>
      <c r="C1826">
        <v>5</v>
      </c>
      <c r="D1826">
        <v>6</v>
      </c>
      <c r="E1826">
        <v>598.08000000000004</v>
      </c>
      <c r="F1826">
        <v>4.83</v>
      </c>
      <c r="G1826">
        <v>100</v>
      </c>
    </row>
    <row r="1827" spans="1:7" ht="14" x14ac:dyDescent="0.3">
      <c r="A1827" t="s">
        <v>1855</v>
      </c>
      <c r="B1827" t="s">
        <v>8</v>
      </c>
      <c r="C1827">
        <v>7</v>
      </c>
      <c r="D1827">
        <v>8</v>
      </c>
      <c r="E1827">
        <v>597.62</v>
      </c>
      <c r="F1827">
        <v>3.38</v>
      </c>
      <c r="G1827">
        <v>87.5</v>
      </c>
    </row>
    <row r="1828" spans="1:7" ht="14" x14ac:dyDescent="0.3">
      <c r="A1828" t="s">
        <v>1856</v>
      </c>
      <c r="B1828" t="s">
        <v>101</v>
      </c>
      <c r="C1828">
        <v>5</v>
      </c>
      <c r="D1828">
        <v>7</v>
      </c>
      <c r="E1828">
        <v>597.34</v>
      </c>
      <c r="F1828">
        <v>5</v>
      </c>
      <c r="G1828">
        <v>100</v>
      </c>
    </row>
    <row r="1829" spans="1:7" ht="14" x14ac:dyDescent="0.3">
      <c r="A1829" t="s">
        <v>1857</v>
      </c>
      <c r="B1829" t="s">
        <v>32</v>
      </c>
      <c r="C1829">
        <v>1</v>
      </c>
      <c r="D1829">
        <v>1</v>
      </c>
      <c r="E1829">
        <v>596.77</v>
      </c>
      <c r="F1829">
        <v>4</v>
      </c>
      <c r="G1829">
        <v>100</v>
      </c>
    </row>
    <row r="1830" spans="1:7" ht="14" x14ac:dyDescent="0.3">
      <c r="A1830" t="s">
        <v>1858</v>
      </c>
      <c r="B1830" t="s">
        <v>8</v>
      </c>
      <c r="C1830">
        <v>3</v>
      </c>
      <c r="D1830">
        <v>6</v>
      </c>
      <c r="E1830">
        <v>596.59</v>
      </c>
      <c r="F1830">
        <v>5</v>
      </c>
      <c r="G1830">
        <v>100</v>
      </c>
    </row>
    <row r="1831" spans="1:7" ht="14" x14ac:dyDescent="0.3">
      <c r="A1831" t="s">
        <v>1859</v>
      </c>
      <c r="B1831" t="s">
        <v>42</v>
      </c>
      <c r="C1831">
        <v>1</v>
      </c>
      <c r="D1831">
        <v>1</v>
      </c>
      <c r="E1831">
        <v>596.55999999999995</v>
      </c>
      <c r="F1831">
        <v>4</v>
      </c>
      <c r="G1831">
        <v>100</v>
      </c>
    </row>
    <row r="1832" spans="1:7" ht="14" x14ac:dyDescent="0.3">
      <c r="A1832" t="s">
        <v>1860</v>
      </c>
      <c r="B1832" t="s">
        <v>8</v>
      </c>
      <c r="C1832">
        <v>12</v>
      </c>
      <c r="D1832">
        <v>12</v>
      </c>
      <c r="E1832">
        <v>594.13</v>
      </c>
      <c r="F1832">
        <v>4</v>
      </c>
      <c r="G1832">
        <v>83.3</v>
      </c>
    </row>
    <row r="1833" spans="1:7" ht="14" x14ac:dyDescent="0.3">
      <c r="A1833" t="s">
        <v>1861</v>
      </c>
      <c r="B1833" t="s">
        <v>8</v>
      </c>
      <c r="C1833">
        <v>14</v>
      </c>
      <c r="D1833">
        <v>22</v>
      </c>
      <c r="E1833">
        <v>593.45000000000005</v>
      </c>
      <c r="F1833">
        <v>4.6399999999999997</v>
      </c>
      <c r="G1833">
        <v>95.5</v>
      </c>
    </row>
    <row r="1834" spans="1:7" ht="14" x14ac:dyDescent="0.3">
      <c r="A1834" t="s">
        <v>1862</v>
      </c>
      <c r="B1834" t="s">
        <v>87</v>
      </c>
      <c r="C1834">
        <v>7</v>
      </c>
      <c r="D1834">
        <v>7</v>
      </c>
      <c r="E1834">
        <v>592.73</v>
      </c>
      <c r="F1834">
        <v>4</v>
      </c>
      <c r="G1834">
        <v>100</v>
      </c>
    </row>
    <row r="1835" spans="1:7" ht="14" x14ac:dyDescent="0.3">
      <c r="A1835" t="s">
        <v>1863</v>
      </c>
      <c r="B1835" t="s">
        <v>42</v>
      </c>
      <c r="C1835">
        <v>5</v>
      </c>
      <c r="D1835">
        <v>5</v>
      </c>
      <c r="E1835">
        <v>590.04999999999995</v>
      </c>
      <c r="F1835">
        <v>4.5999999999999996</v>
      </c>
      <c r="G1835">
        <v>100</v>
      </c>
    </row>
    <row r="1836" spans="1:7" ht="14" x14ac:dyDescent="0.3">
      <c r="A1836" t="s">
        <v>1864</v>
      </c>
      <c r="B1836" t="s">
        <v>24</v>
      </c>
      <c r="C1836">
        <v>7</v>
      </c>
      <c r="D1836">
        <v>7</v>
      </c>
      <c r="E1836">
        <v>588.83000000000004</v>
      </c>
      <c r="F1836">
        <v>4.71</v>
      </c>
      <c r="G1836">
        <v>100</v>
      </c>
    </row>
    <row r="1837" spans="1:7" ht="14" x14ac:dyDescent="0.3">
      <c r="A1837" t="s">
        <v>1865</v>
      </c>
      <c r="B1837" t="s">
        <v>32</v>
      </c>
      <c r="C1837">
        <v>7</v>
      </c>
      <c r="D1837">
        <v>7</v>
      </c>
      <c r="E1837">
        <v>586.79</v>
      </c>
      <c r="F1837">
        <v>3.57</v>
      </c>
      <c r="G1837">
        <v>85.7</v>
      </c>
    </row>
    <row r="1838" spans="1:7" ht="14" x14ac:dyDescent="0.3">
      <c r="A1838" t="s">
        <v>1866</v>
      </c>
      <c r="B1838" t="s">
        <v>32</v>
      </c>
      <c r="C1838">
        <v>3</v>
      </c>
      <c r="D1838">
        <v>3</v>
      </c>
      <c r="E1838">
        <v>584.79</v>
      </c>
      <c r="F1838">
        <v>4.33</v>
      </c>
      <c r="G1838">
        <v>100</v>
      </c>
    </row>
    <row r="1839" spans="1:7" ht="14" x14ac:dyDescent="0.3">
      <c r="A1839" t="s">
        <v>1867</v>
      </c>
      <c r="B1839" t="s">
        <v>8</v>
      </c>
      <c r="C1839">
        <v>8</v>
      </c>
      <c r="D1839">
        <v>12</v>
      </c>
      <c r="E1839">
        <v>582.42999999999995</v>
      </c>
      <c r="F1839">
        <v>3.92</v>
      </c>
      <c r="G1839">
        <v>100</v>
      </c>
    </row>
    <row r="1840" spans="1:7" ht="14" x14ac:dyDescent="0.3">
      <c r="A1840" t="s">
        <v>1868</v>
      </c>
      <c r="B1840" t="s">
        <v>32</v>
      </c>
      <c r="C1840">
        <v>3</v>
      </c>
      <c r="D1840">
        <v>5</v>
      </c>
      <c r="E1840">
        <v>581.76</v>
      </c>
      <c r="F1840">
        <v>2.2000000000000002</v>
      </c>
      <c r="G1840">
        <v>100</v>
      </c>
    </row>
    <row r="1841" spans="1:7" ht="14" x14ac:dyDescent="0.3">
      <c r="A1841" t="s">
        <v>1869</v>
      </c>
      <c r="B1841" t="s">
        <v>8</v>
      </c>
      <c r="C1841">
        <v>7</v>
      </c>
      <c r="D1841">
        <v>7</v>
      </c>
      <c r="E1841">
        <v>580.32000000000005</v>
      </c>
      <c r="F1841">
        <v>4.8600000000000003</v>
      </c>
      <c r="G1841">
        <v>100</v>
      </c>
    </row>
    <row r="1842" spans="1:7" ht="14" x14ac:dyDescent="0.3">
      <c r="A1842" t="s">
        <v>1870</v>
      </c>
      <c r="B1842" t="s">
        <v>8</v>
      </c>
      <c r="C1842">
        <v>4</v>
      </c>
      <c r="D1842">
        <v>4</v>
      </c>
      <c r="E1842">
        <v>579.89</v>
      </c>
      <c r="F1842">
        <v>4.5</v>
      </c>
      <c r="G1842">
        <v>100</v>
      </c>
    </row>
    <row r="1843" spans="1:7" ht="14" x14ac:dyDescent="0.3">
      <c r="A1843" t="s">
        <v>1871</v>
      </c>
      <c r="B1843" t="s">
        <v>8</v>
      </c>
      <c r="C1843">
        <v>1</v>
      </c>
      <c r="D1843">
        <v>1</v>
      </c>
      <c r="E1843">
        <v>577</v>
      </c>
      <c r="F1843">
        <v>4</v>
      </c>
      <c r="G1843">
        <v>100</v>
      </c>
    </row>
    <row r="1844" spans="1:7" ht="14" x14ac:dyDescent="0.3">
      <c r="A1844" t="s">
        <v>1872</v>
      </c>
      <c r="B1844" t="s">
        <v>8</v>
      </c>
      <c r="C1844">
        <v>8</v>
      </c>
      <c r="D1844">
        <v>9</v>
      </c>
      <c r="E1844">
        <v>575.57000000000005</v>
      </c>
      <c r="F1844">
        <v>3.78</v>
      </c>
      <c r="G1844">
        <v>77.8</v>
      </c>
    </row>
    <row r="1845" spans="1:7" ht="14" x14ac:dyDescent="0.3">
      <c r="A1845" t="s">
        <v>1873</v>
      </c>
      <c r="B1845" t="s">
        <v>8</v>
      </c>
      <c r="C1845">
        <v>10</v>
      </c>
      <c r="D1845">
        <v>11</v>
      </c>
      <c r="E1845">
        <v>575.49</v>
      </c>
      <c r="F1845">
        <v>3.73</v>
      </c>
      <c r="G1845">
        <v>100</v>
      </c>
    </row>
    <row r="1846" spans="1:7" ht="14" x14ac:dyDescent="0.3">
      <c r="A1846" t="s">
        <v>1874</v>
      </c>
      <c r="B1846" t="s">
        <v>152</v>
      </c>
      <c r="C1846">
        <v>4</v>
      </c>
      <c r="D1846">
        <v>4</v>
      </c>
      <c r="E1846">
        <v>575.07000000000005</v>
      </c>
      <c r="F1846">
        <v>4.75</v>
      </c>
      <c r="G1846">
        <v>100</v>
      </c>
    </row>
    <row r="1847" spans="1:7" ht="14" x14ac:dyDescent="0.3">
      <c r="A1847" t="s">
        <v>1875</v>
      </c>
      <c r="B1847" t="s">
        <v>8</v>
      </c>
      <c r="C1847">
        <v>8</v>
      </c>
      <c r="D1847">
        <v>8</v>
      </c>
      <c r="E1847">
        <v>574.84</v>
      </c>
      <c r="F1847">
        <v>4</v>
      </c>
      <c r="G1847">
        <v>75</v>
      </c>
    </row>
    <row r="1848" spans="1:7" ht="14" x14ac:dyDescent="0.3">
      <c r="A1848" t="s">
        <v>1876</v>
      </c>
      <c r="B1848" t="s">
        <v>8</v>
      </c>
      <c r="C1848">
        <v>3</v>
      </c>
      <c r="D1848">
        <v>3</v>
      </c>
      <c r="E1848">
        <v>574.63</v>
      </c>
      <c r="F1848">
        <v>4.33</v>
      </c>
      <c r="G1848">
        <v>100</v>
      </c>
    </row>
    <row r="1849" spans="1:7" ht="14" x14ac:dyDescent="0.3">
      <c r="A1849" s="1" t="s">
        <v>1877</v>
      </c>
      <c r="B1849" t="s">
        <v>24</v>
      </c>
      <c r="C1849">
        <v>1</v>
      </c>
      <c r="D1849">
        <v>2</v>
      </c>
      <c r="E1849">
        <v>573.74</v>
      </c>
      <c r="F1849">
        <v>5</v>
      </c>
      <c r="G1849">
        <v>100</v>
      </c>
    </row>
    <row r="1850" spans="1:7" ht="14" x14ac:dyDescent="0.3">
      <c r="A1850" t="s">
        <v>1878</v>
      </c>
      <c r="B1850" t="s">
        <v>8</v>
      </c>
      <c r="C1850">
        <v>6</v>
      </c>
      <c r="D1850">
        <v>6</v>
      </c>
      <c r="E1850">
        <v>573.34</v>
      </c>
      <c r="F1850">
        <v>4</v>
      </c>
      <c r="G1850">
        <v>83.3</v>
      </c>
    </row>
    <row r="1851" spans="1:7" ht="14" x14ac:dyDescent="0.3">
      <c r="A1851" t="s">
        <v>1879</v>
      </c>
      <c r="B1851" t="s">
        <v>8</v>
      </c>
      <c r="C1851">
        <v>3</v>
      </c>
      <c r="D1851">
        <v>3</v>
      </c>
      <c r="E1851">
        <v>572.16999999999996</v>
      </c>
      <c r="F1851">
        <v>5</v>
      </c>
      <c r="G1851">
        <v>100</v>
      </c>
    </row>
    <row r="1852" spans="1:7" ht="14" x14ac:dyDescent="0.3">
      <c r="A1852" t="s">
        <v>1880</v>
      </c>
      <c r="B1852" t="s">
        <v>8</v>
      </c>
      <c r="C1852">
        <v>3</v>
      </c>
      <c r="D1852">
        <v>4</v>
      </c>
      <c r="E1852">
        <v>571.88</v>
      </c>
      <c r="F1852">
        <v>5</v>
      </c>
      <c r="G1852">
        <v>100</v>
      </c>
    </row>
    <row r="1853" spans="1:7" ht="14" x14ac:dyDescent="0.3">
      <c r="A1853" t="s">
        <v>1881</v>
      </c>
      <c r="B1853" t="s">
        <v>24</v>
      </c>
      <c r="C1853">
        <v>6</v>
      </c>
      <c r="D1853">
        <v>7</v>
      </c>
      <c r="E1853">
        <v>571.29999999999995</v>
      </c>
      <c r="F1853">
        <v>4.57</v>
      </c>
      <c r="G1853">
        <v>100</v>
      </c>
    </row>
    <row r="1854" spans="1:7" ht="14" x14ac:dyDescent="0.3">
      <c r="A1854" t="s">
        <v>1882</v>
      </c>
      <c r="B1854" t="s">
        <v>32</v>
      </c>
      <c r="C1854">
        <v>1</v>
      </c>
      <c r="D1854">
        <v>2</v>
      </c>
      <c r="E1854">
        <v>571.22</v>
      </c>
      <c r="F1854">
        <v>5</v>
      </c>
      <c r="G1854">
        <v>100</v>
      </c>
    </row>
    <row r="1855" spans="1:7" ht="14" x14ac:dyDescent="0.3">
      <c r="A1855" t="s">
        <v>1883</v>
      </c>
      <c r="B1855" t="s">
        <v>24</v>
      </c>
      <c r="C1855">
        <v>3</v>
      </c>
      <c r="D1855">
        <v>4</v>
      </c>
      <c r="E1855">
        <v>570.83000000000004</v>
      </c>
      <c r="F1855">
        <v>5</v>
      </c>
      <c r="G1855">
        <v>100</v>
      </c>
    </row>
    <row r="1856" spans="1:7" ht="14" x14ac:dyDescent="0.3">
      <c r="A1856" t="s">
        <v>1884</v>
      </c>
      <c r="B1856" t="s">
        <v>8</v>
      </c>
      <c r="C1856">
        <v>7</v>
      </c>
      <c r="D1856">
        <v>7</v>
      </c>
      <c r="E1856">
        <v>570.37</v>
      </c>
      <c r="F1856">
        <v>4.71</v>
      </c>
      <c r="G1856">
        <v>100</v>
      </c>
    </row>
    <row r="1857" spans="1:7" ht="14" x14ac:dyDescent="0.3">
      <c r="A1857" t="s">
        <v>1885</v>
      </c>
      <c r="B1857" t="s">
        <v>8</v>
      </c>
      <c r="C1857">
        <v>2</v>
      </c>
      <c r="D1857">
        <v>2</v>
      </c>
      <c r="E1857">
        <v>570.34</v>
      </c>
      <c r="F1857">
        <v>5</v>
      </c>
      <c r="G1857">
        <v>100</v>
      </c>
    </row>
    <row r="1858" spans="1:7" ht="14" x14ac:dyDescent="0.3">
      <c r="A1858" t="s">
        <v>1886</v>
      </c>
      <c r="B1858" t="s">
        <v>8</v>
      </c>
      <c r="C1858">
        <v>8</v>
      </c>
      <c r="D1858">
        <v>8</v>
      </c>
      <c r="E1858">
        <v>569.79999999999995</v>
      </c>
      <c r="F1858">
        <v>4.38</v>
      </c>
      <c r="G1858">
        <v>100</v>
      </c>
    </row>
    <row r="1859" spans="1:7" ht="14" x14ac:dyDescent="0.3">
      <c r="A1859" t="s">
        <v>1887</v>
      </c>
      <c r="B1859" t="s">
        <v>8</v>
      </c>
      <c r="C1859">
        <v>10</v>
      </c>
      <c r="D1859">
        <v>12</v>
      </c>
      <c r="E1859">
        <v>567.71</v>
      </c>
      <c r="F1859">
        <v>4.75</v>
      </c>
      <c r="G1859">
        <v>83.3</v>
      </c>
    </row>
    <row r="1860" spans="1:7" ht="14" x14ac:dyDescent="0.3">
      <c r="A1860" t="s">
        <v>1888</v>
      </c>
      <c r="B1860" t="s">
        <v>24</v>
      </c>
      <c r="C1860">
        <v>11</v>
      </c>
      <c r="D1860">
        <v>11</v>
      </c>
      <c r="E1860">
        <v>567.4</v>
      </c>
      <c r="F1860">
        <v>4.82</v>
      </c>
      <c r="G1860">
        <v>100</v>
      </c>
    </row>
    <row r="1861" spans="1:7" ht="14" x14ac:dyDescent="0.3">
      <c r="A1861" t="s">
        <v>1889</v>
      </c>
      <c r="B1861" t="s">
        <v>32</v>
      </c>
      <c r="C1861">
        <v>5</v>
      </c>
      <c r="D1861">
        <v>5</v>
      </c>
      <c r="E1861">
        <v>567.11</v>
      </c>
      <c r="F1861">
        <v>5</v>
      </c>
      <c r="G1861">
        <v>100</v>
      </c>
    </row>
    <row r="1862" spans="1:7" ht="14" x14ac:dyDescent="0.3">
      <c r="A1862" t="s">
        <v>1890</v>
      </c>
      <c r="B1862" t="s">
        <v>32</v>
      </c>
      <c r="C1862">
        <v>2</v>
      </c>
      <c r="D1862">
        <v>2</v>
      </c>
      <c r="E1862">
        <v>564.14</v>
      </c>
      <c r="F1862">
        <v>5</v>
      </c>
      <c r="G1862">
        <v>100</v>
      </c>
    </row>
    <row r="1863" spans="1:7" ht="14" x14ac:dyDescent="0.3">
      <c r="A1863" t="s">
        <v>1891</v>
      </c>
      <c r="B1863" t="s">
        <v>8</v>
      </c>
      <c r="C1863">
        <v>13</v>
      </c>
      <c r="D1863">
        <v>15</v>
      </c>
      <c r="E1863">
        <v>563.55999999999995</v>
      </c>
      <c r="F1863">
        <v>3.47</v>
      </c>
      <c r="G1863">
        <v>100</v>
      </c>
    </row>
    <row r="1864" spans="1:7" ht="14" x14ac:dyDescent="0.3">
      <c r="A1864" t="s">
        <v>1892</v>
      </c>
      <c r="B1864" t="s">
        <v>22</v>
      </c>
      <c r="C1864">
        <v>2</v>
      </c>
      <c r="D1864">
        <v>2</v>
      </c>
      <c r="E1864">
        <v>563.44000000000005</v>
      </c>
      <c r="F1864">
        <v>1</v>
      </c>
      <c r="G1864">
        <v>50</v>
      </c>
    </row>
    <row r="1865" spans="1:7" ht="14" x14ac:dyDescent="0.3">
      <c r="A1865" t="s">
        <v>1893</v>
      </c>
      <c r="B1865" t="s">
        <v>8</v>
      </c>
      <c r="C1865">
        <v>5</v>
      </c>
      <c r="D1865">
        <v>5</v>
      </c>
      <c r="E1865">
        <v>560.36</v>
      </c>
      <c r="F1865">
        <v>5</v>
      </c>
      <c r="G1865">
        <v>100</v>
      </c>
    </row>
    <row r="1866" spans="1:7" ht="14" x14ac:dyDescent="0.3">
      <c r="A1866" t="s">
        <v>1894</v>
      </c>
      <c r="B1866" t="s">
        <v>42</v>
      </c>
      <c r="C1866">
        <v>3</v>
      </c>
      <c r="D1866">
        <v>3</v>
      </c>
      <c r="E1866">
        <v>559.77</v>
      </c>
      <c r="F1866">
        <v>4.67</v>
      </c>
      <c r="G1866">
        <v>66.7</v>
      </c>
    </row>
    <row r="1867" spans="1:7" ht="14" x14ac:dyDescent="0.3">
      <c r="A1867" t="s">
        <v>1895</v>
      </c>
      <c r="B1867" t="s">
        <v>42</v>
      </c>
      <c r="C1867">
        <v>1</v>
      </c>
      <c r="D1867">
        <v>3</v>
      </c>
      <c r="E1867">
        <v>559.23</v>
      </c>
      <c r="F1867">
        <v>4</v>
      </c>
      <c r="G1867">
        <v>100</v>
      </c>
    </row>
    <row r="1868" spans="1:7" ht="14" x14ac:dyDescent="0.3">
      <c r="A1868" t="s">
        <v>1896</v>
      </c>
      <c r="B1868" t="s">
        <v>24</v>
      </c>
      <c r="C1868">
        <v>4</v>
      </c>
      <c r="D1868">
        <v>4</v>
      </c>
      <c r="E1868">
        <v>558.91999999999996</v>
      </c>
      <c r="F1868">
        <v>4.75</v>
      </c>
      <c r="G1868">
        <v>100</v>
      </c>
    </row>
    <row r="1869" spans="1:7" ht="14" x14ac:dyDescent="0.3">
      <c r="A1869" t="s">
        <v>1897</v>
      </c>
      <c r="B1869" t="s">
        <v>8</v>
      </c>
      <c r="C1869">
        <v>2</v>
      </c>
      <c r="D1869">
        <v>2</v>
      </c>
      <c r="E1869">
        <v>558.07000000000005</v>
      </c>
      <c r="F1869">
        <v>4.5</v>
      </c>
      <c r="G1869">
        <v>100</v>
      </c>
    </row>
    <row r="1870" spans="1:7" ht="14" x14ac:dyDescent="0.3">
      <c r="A1870" t="s">
        <v>1898</v>
      </c>
      <c r="B1870" t="s">
        <v>8</v>
      </c>
      <c r="C1870">
        <v>18</v>
      </c>
      <c r="D1870">
        <v>18</v>
      </c>
      <c r="E1870">
        <v>558.02</v>
      </c>
      <c r="F1870">
        <v>4.28</v>
      </c>
      <c r="G1870">
        <v>94.4</v>
      </c>
    </row>
    <row r="1871" spans="1:7" ht="14" x14ac:dyDescent="0.3">
      <c r="A1871" t="s">
        <v>1899</v>
      </c>
      <c r="B1871" t="s">
        <v>8</v>
      </c>
      <c r="C1871">
        <v>2</v>
      </c>
      <c r="D1871">
        <v>2</v>
      </c>
      <c r="E1871">
        <v>557.85</v>
      </c>
      <c r="F1871">
        <v>3.5</v>
      </c>
      <c r="G1871">
        <v>50</v>
      </c>
    </row>
    <row r="1872" spans="1:7" ht="14" x14ac:dyDescent="0.3">
      <c r="A1872" t="s">
        <v>1900</v>
      </c>
      <c r="B1872" t="s">
        <v>32</v>
      </c>
      <c r="C1872">
        <v>12</v>
      </c>
      <c r="D1872">
        <v>12</v>
      </c>
      <c r="E1872">
        <v>557.84</v>
      </c>
      <c r="F1872">
        <v>3.71</v>
      </c>
      <c r="G1872">
        <v>100</v>
      </c>
    </row>
    <row r="1873" spans="1:7" ht="14" x14ac:dyDescent="0.3">
      <c r="A1873" t="s">
        <v>1901</v>
      </c>
      <c r="B1873" t="s">
        <v>22</v>
      </c>
      <c r="C1873">
        <v>1</v>
      </c>
      <c r="D1873">
        <v>1</v>
      </c>
      <c r="E1873">
        <v>557.72</v>
      </c>
      <c r="F1873">
        <v>4</v>
      </c>
      <c r="G1873">
        <v>100</v>
      </c>
    </row>
    <row r="1874" spans="1:7" ht="14" x14ac:dyDescent="0.3">
      <c r="A1874" s="1" t="s">
        <v>1902</v>
      </c>
      <c r="B1874" t="s">
        <v>87</v>
      </c>
      <c r="C1874">
        <v>2</v>
      </c>
      <c r="D1874">
        <v>6</v>
      </c>
      <c r="E1874">
        <v>556.80999999999995</v>
      </c>
      <c r="F1874">
        <v>4.17</v>
      </c>
      <c r="G1874">
        <v>100</v>
      </c>
    </row>
    <row r="1875" spans="1:7" ht="14" x14ac:dyDescent="0.3">
      <c r="A1875" t="s">
        <v>1903</v>
      </c>
      <c r="B1875" t="s">
        <v>8</v>
      </c>
      <c r="C1875">
        <v>2</v>
      </c>
      <c r="D1875">
        <v>4</v>
      </c>
      <c r="E1875">
        <v>556.55999999999995</v>
      </c>
      <c r="F1875">
        <v>4.5</v>
      </c>
      <c r="G1875">
        <v>75</v>
      </c>
    </row>
    <row r="1876" spans="1:7" ht="14" x14ac:dyDescent="0.3">
      <c r="A1876" t="s">
        <v>1904</v>
      </c>
      <c r="B1876" t="s">
        <v>8</v>
      </c>
      <c r="C1876">
        <v>8</v>
      </c>
      <c r="D1876">
        <v>9</v>
      </c>
      <c r="E1876">
        <v>555.94000000000005</v>
      </c>
      <c r="F1876">
        <v>4.8899999999999997</v>
      </c>
      <c r="G1876">
        <v>100</v>
      </c>
    </row>
    <row r="1877" spans="1:7" ht="14" x14ac:dyDescent="0.3">
      <c r="A1877" t="s">
        <v>1905</v>
      </c>
      <c r="B1877" t="s">
        <v>8</v>
      </c>
      <c r="C1877">
        <v>2</v>
      </c>
      <c r="D1877">
        <v>3</v>
      </c>
      <c r="E1877">
        <v>554.45000000000005</v>
      </c>
      <c r="F1877">
        <v>3.67</v>
      </c>
      <c r="G1877">
        <v>100</v>
      </c>
    </row>
    <row r="1878" spans="1:7" ht="14" x14ac:dyDescent="0.3">
      <c r="A1878" t="s">
        <v>1906</v>
      </c>
      <c r="B1878" t="s">
        <v>8</v>
      </c>
      <c r="C1878">
        <v>9</v>
      </c>
      <c r="D1878">
        <v>10</v>
      </c>
      <c r="E1878">
        <v>552.9</v>
      </c>
      <c r="F1878">
        <v>4.5</v>
      </c>
      <c r="G1878">
        <v>100</v>
      </c>
    </row>
    <row r="1879" spans="1:7" ht="14" x14ac:dyDescent="0.3">
      <c r="A1879" t="s">
        <v>1907</v>
      </c>
      <c r="B1879" t="s">
        <v>32</v>
      </c>
      <c r="C1879">
        <v>9</v>
      </c>
      <c r="D1879">
        <v>10</v>
      </c>
      <c r="E1879">
        <v>551.89</v>
      </c>
      <c r="F1879">
        <v>4.7</v>
      </c>
      <c r="G1879">
        <v>90</v>
      </c>
    </row>
    <row r="1880" spans="1:7" ht="14" x14ac:dyDescent="0.3">
      <c r="A1880" t="s">
        <v>1908</v>
      </c>
      <c r="B1880" t="s">
        <v>24</v>
      </c>
      <c r="C1880">
        <v>8</v>
      </c>
      <c r="D1880">
        <v>12</v>
      </c>
      <c r="E1880">
        <v>551.73</v>
      </c>
      <c r="F1880">
        <v>5</v>
      </c>
      <c r="G1880">
        <v>100</v>
      </c>
    </row>
    <row r="1881" spans="1:7" ht="14" x14ac:dyDescent="0.3">
      <c r="A1881" t="s">
        <v>1909</v>
      </c>
      <c r="B1881" t="s">
        <v>8</v>
      </c>
      <c r="C1881">
        <v>8</v>
      </c>
      <c r="D1881">
        <v>8</v>
      </c>
      <c r="E1881">
        <v>551.04</v>
      </c>
      <c r="F1881">
        <v>4.38</v>
      </c>
      <c r="G1881">
        <v>100</v>
      </c>
    </row>
    <row r="1882" spans="1:7" ht="14" x14ac:dyDescent="0.3">
      <c r="A1882" t="s">
        <v>1910</v>
      </c>
      <c r="B1882" t="s">
        <v>42</v>
      </c>
      <c r="C1882">
        <v>7</v>
      </c>
      <c r="D1882">
        <v>7</v>
      </c>
      <c r="E1882">
        <v>550.36</v>
      </c>
      <c r="F1882">
        <v>4.71</v>
      </c>
      <c r="G1882">
        <v>100</v>
      </c>
    </row>
    <row r="1883" spans="1:7" ht="14" x14ac:dyDescent="0.3">
      <c r="A1883" t="s">
        <v>1911</v>
      </c>
      <c r="B1883" t="s">
        <v>24</v>
      </c>
      <c r="C1883">
        <v>7</v>
      </c>
      <c r="D1883">
        <v>9</v>
      </c>
      <c r="E1883">
        <v>550.27</v>
      </c>
      <c r="F1883">
        <v>5</v>
      </c>
      <c r="G1883">
        <v>100</v>
      </c>
    </row>
    <row r="1884" spans="1:7" ht="14" x14ac:dyDescent="0.3">
      <c r="A1884" t="s">
        <v>1912</v>
      </c>
      <c r="B1884" t="s">
        <v>8</v>
      </c>
      <c r="C1884">
        <v>5</v>
      </c>
      <c r="D1884">
        <v>5</v>
      </c>
      <c r="E1884">
        <v>550.04999999999995</v>
      </c>
      <c r="F1884">
        <v>4</v>
      </c>
      <c r="G1884">
        <v>100</v>
      </c>
    </row>
    <row r="1885" spans="1:7" ht="14" x14ac:dyDescent="0.3">
      <c r="A1885" t="s">
        <v>1913</v>
      </c>
      <c r="B1885" t="s">
        <v>8</v>
      </c>
      <c r="C1885">
        <v>3</v>
      </c>
      <c r="D1885">
        <v>5</v>
      </c>
      <c r="E1885">
        <v>548.61</v>
      </c>
      <c r="F1885">
        <v>3.8</v>
      </c>
      <c r="G1885">
        <v>40</v>
      </c>
    </row>
    <row r="1886" spans="1:7" ht="14" x14ac:dyDescent="0.3">
      <c r="A1886" t="s">
        <v>1914</v>
      </c>
      <c r="B1886" t="s">
        <v>8</v>
      </c>
      <c r="C1886">
        <v>3</v>
      </c>
      <c r="D1886">
        <v>3</v>
      </c>
      <c r="E1886">
        <v>548.27</v>
      </c>
      <c r="F1886">
        <v>4.67</v>
      </c>
      <c r="G1886">
        <v>100</v>
      </c>
    </row>
    <row r="1887" spans="1:7" ht="14" x14ac:dyDescent="0.3">
      <c r="A1887" t="s">
        <v>1915</v>
      </c>
      <c r="B1887" t="s">
        <v>8</v>
      </c>
      <c r="C1887">
        <v>3</v>
      </c>
      <c r="D1887">
        <v>9</v>
      </c>
      <c r="E1887">
        <v>547.34</v>
      </c>
      <c r="F1887">
        <v>4.5599999999999996</v>
      </c>
      <c r="G1887">
        <v>100</v>
      </c>
    </row>
    <row r="1888" spans="1:7" ht="14" x14ac:dyDescent="0.3">
      <c r="A1888" t="s">
        <v>1916</v>
      </c>
      <c r="B1888" t="s">
        <v>8</v>
      </c>
      <c r="C1888">
        <v>1</v>
      </c>
      <c r="D1888">
        <v>1</v>
      </c>
      <c r="E1888">
        <v>546.54999999999995</v>
      </c>
      <c r="F1888">
        <v>5</v>
      </c>
      <c r="G1888">
        <v>100</v>
      </c>
    </row>
    <row r="1889" spans="1:7" ht="14" x14ac:dyDescent="0.3">
      <c r="A1889" t="s">
        <v>1917</v>
      </c>
      <c r="B1889" t="s">
        <v>8</v>
      </c>
      <c r="C1889">
        <v>1</v>
      </c>
      <c r="D1889">
        <v>1</v>
      </c>
      <c r="E1889">
        <v>545.51</v>
      </c>
      <c r="F1889">
        <v>5</v>
      </c>
      <c r="G1889">
        <v>100</v>
      </c>
    </row>
    <row r="1890" spans="1:7" ht="14" x14ac:dyDescent="0.3">
      <c r="A1890" t="s">
        <v>1918</v>
      </c>
      <c r="B1890" t="s">
        <v>24</v>
      </c>
      <c r="C1890">
        <v>4</v>
      </c>
      <c r="D1890">
        <v>6</v>
      </c>
      <c r="E1890">
        <v>544.53</v>
      </c>
      <c r="F1890">
        <v>2.6</v>
      </c>
      <c r="G1890">
        <v>100</v>
      </c>
    </row>
    <row r="1891" spans="1:7" ht="14" x14ac:dyDescent="0.3">
      <c r="A1891" t="s">
        <v>1919</v>
      </c>
      <c r="B1891" t="s">
        <v>42</v>
      </c>
      <c r="C1891">
        <v>8</v>
      </c>
      <c r="D1891">
        <v>11</v>
      </c>
      <c r="E1891">
        <v>541.97</v>
      </c>
      <c r="F1891">
        <v>4.82</v>
      </c>
      <c r="G1891">
        <v>100</v>
      </c>
    </row>
    <row r="1892" spans="1:7" ht="14" x14ac:dyDescent="0.3">
      <c r="A1892" t="s">
        <v>1920</v>
      </c>
      <c r="B1892" t="s">
        <v>8</v>
      </c>
      <c r="C1892">
        <v>4</v>
      </c>
      <c r="D1892">
        <v>5</v>
      </c>
      <c r="E1892">
        <v>541.27</v>
      </c>
      <c r="F1892">
        <v>4.8</v>
      </c>
      <c r="G1892">
        <v>100</v>
      </c>
    </row>
    <row r="1893" spans="1:7" ht="14" x14ac:dyDescent="0.3">
      <c r="A1893" t="s">
        <v>1921</v>
      </c>
      <c r="B1893" t="s">
        <v>8</v>
      </c>
      <c r="C1893">
        <v>3</v>
      </c>
      <c r="D1893">
        <v>3</v>
      </c>
      <c r="E1893">
        <v>541.05999999999995</v>
      </c>
      <c r="F1893">
        <v>3.33</v>
      </c>
      <c r="G1893">
        <v>100</v>
      </c>
    </row>
    <row r="1894" spans="1:7" ht="14" x14ac:dyDescent="0.3">
      <c r="A1894" t="s">
        <v>1922</v>
      </c>
      <c r="B1894" t="s">
        <v>8</v>
      </c>
      <c r="C1894">
        <v>5</v>
      </c>
      <c r="D1894">
        <v>10</v>
      </c>
      <c r="E1894">
        <v>540.09</v>
      </c>
      <c r="F1894">
        <v>4.8</v>
      </c>
      <c r="G1894">
        <v>100</v>
      </c>
    </row>
    <row r="1895" spans="1:7" ht="14" x14ac:dyDescent="0.3">
      <c r="A1895" t="s">
        <v>1923</v>
      </c>
      <c r="B1895" t="s">
        <v>8</v>
      </c>
      <c r="C1895">
        <v>7</v>
      </c>
      <c r="D1895">
        <v>7</v>
      </c>
      <c r="E1895">
        <v>536.86</v>
      </c>
      <c r="F1895">
        <v>3.43</v>
      </c>
      <c r="G1895">
        <v>85.7</v>
      </c>
    </row>
    <row r="1896" spans="1:7" ht="14" x14ac:dyDescent="0.3">
      <c r="A1896" t="s">
        <v>1924</v>
      </c>
      <c r="B1896" t="s">
        <v>22</v>
      </c>
      <c r="C1896">
        <v>5</v>
      </c>
      <c r="D1896">
        <v>5</v>
      </c>
      <c r="E1896">
        <v>536.08000000000004</v>
      </c>
      <c r="F1896">
        <v>4.5999999999999996</v>
      </c>
      <c r="G1896">
        <v>100</v>
      </c>
    </row>
    <row r="1897" spans="1:7" ht="14" x14ac:dyDescent="0.3">
      <c r="A1897" t="s">
        <v>1925</v>
      </c>
      <c r="B1897" t="s">
        <v>8</v>
      </c>
      <c r="C1897">
        <v>6</v>
      </c>
      <c r="D1897">
        <v>7</v>
      </c>
      <c r="E1897">
        <v>533.88</v>
      </c>
      <c r="F1897">
        <v>4</v>
      </c>
      <c r="G1897">
        <v>100</v>
      </c>
    </row>
    <row r="1898" spans="1:7" ht="14" x14ac:dyDescent="0.3">
      <c r="A1898" t="s">
        <v>1926</v>
      </c>
      <c r="B1898" t="s">
        <v>8</v>
      </c>
      <c r="C1898">
        <v>3</v>
      </c>
      <c r="D1898">
        <v>3</v>
      </c>
      <c r="E1898">
        <v>533.86</v>
      </c>
      <c r="F1898">
        <v>4</v>
      </c>
      <c r="G1898">
        <v>100</v>
      </c>
    </row>
    <row r="1899" spans="1:7" ht="14" x14ac:dyDescent="0.3">
      <c r="A1899" t="s">
        <v>1927</v>
      </c>
      <c r="B1899" t="s">
        <v>8</v>
      </c>
      <c r="C1899">
        <v>11</v>
      </c>
      <c r="D1899">
        <v>11</v>
      </c>
      <c r="E1899">
        <v>531.88</v>
      </c>
      <c r="F1899">
        <v>4.2699999999999996</v>
      </c>
      <c r="G1899">
        <v>81.8</v>
      </c>
    </row>
    <row r="1900" spans="1:7" ht="14" x14ac:dyDescent="0.3">
      <c r="A1900" t="s">
        <v>1928</v>
      </c>
      <c r="B1900" t="s">
        <v>8</v>
      </c>
      <c r="C1900">
        <v>7</v>
      </c>
      <c r="D1900">
        <v>7</v>
      </c>
      <c r="E1900">
        <v>531.38</v>
      </c>
      <c r="F1900">
        <v>4.29</v>
      </c>
      <c r="G1900">
        <v>85.7</v>
      </c>
    </row>
    <row r="1901" spans="1:7" ht="14" x14ac:dyDescent="0.3">
      <c r="A1901" t="s">
        <v>1929</v>
      </c>
      <c r="B1901" t="s">
        <v>8</v>
      </c>
      <c r="C1901">
        <v>7</v>
      </c>
      <c r="D1901">
        <v>12</v>
      </c>
      <c r="E1901">
        <v>530.62</v>
      </c>
      <c r="F1901">
        <v>4.83</v>
      </c>
      <c r="G1901">
        <v>100</v>
      </c>
    </row>
    <row r="1902" spans="1:7" ht="14" x14ac:dyDescent="0.3">
      <c r="A1902" t="s">
        <v>1930</v>
      </c>
      <c r="B1902" t="s">
        <v>8</v>
      </c>
      <c r="C1902">
        <v>1</v>
      </c>
      <c r="D1902">
        <v>1</v>
      </c>
      <c r="E1902">
        <v>530.16999999999996</v>
      </c>
      <c r="F1902">
        <v>5</v>
      </c>
      <c r="G1902">
        <v>100</v>
      </c>
    </row>
    <row r="1903" spans="1:7" ht="14" x14ac:dyDescent="0.3">
      <c r="A1903" t="s">
        <v>1931</v>
      </c>
      <c r="B1903" t="s">
        <v>8</v>
      </c>
      <c r="C1903">
        <v>3</v>
      </c>
      <c r="D1903">
        <v>3</v>
      </c>
      <c r="E1903">
        <v>529.47</v>
      </c>
      <c r="F1903">
        <v>5</v>
      </c>
      <c r="G1903">
        <v>100</v>
      </c>
    </row>
    <row r="1904" spans="1:7" ht="14" x14ac:dyDescent="0.3">
      <c r="A1904" t="s">
        <v>1932</v>
      </c>
      <c r="B1904" t="s">
        <v>32</v>
      </c>
      <c r="C1904">
        <v>7</v>
      </c>
      <c r="D1904">
        <v>7</v>
      </c>
      <c r="E1904">
        <v>529.16</v>
      </c>
      <c r="F1904">
        <v>4.57</v>
      </c>
      <c r="G1904">
        <v>100</v>
      </c>
    </row>
    <row r="1905" spans="1:7" ht="14" x14ac:dyDescent="0.3">
      <c r="A1905" t="s">
        <v>1933</v>
      </c>
      <c r="B1905" t="s">
        <v>8</v>
      </c>
      <c r="C1905">
        <v>6</v>
      </c>
      <c r="D1905">
        <v>6</v>
      </c>
      <c r="E1905">
        <v>528.33000000000004</v>
      </c>
      <c r="F1905">
        <v>4.33</v>
      </c>
      <c r="G1905">
        <v>100</v>
      </c>
    </row>
    <row r="1906" spans="1:7" ht="14" x14ac:dyDescent="0.3">
      <c r="A1906" t="s">
        <v>1934</v>
      </c>
      <c r="B1906" t="s">
        <v>24</v>
      </c>
      <c r="C1906">
        <v>9</v>
      </c>
      <c r="D1906">
        <v>9</v>
      </c>
      <c r="E1906">
        <v>528.29999999999995</v>
      </c>
      <c r="F1906">
        <v>4.5</v>
      </c>
      <c r="G1906">
        <v>100</v>
      </c>
    </row>
    <row r="1907" spans="1:7" ht="14" x14ac:dyDescent="0.3">
      <c r="A1907" t="s">
        <v>1935</v>
      </c>
      <c r="B1907" t="s">
        <v>8</v>
      </c>
      <c r="C1907">
        <v>3</v>
      </c>
      <c r="D1907">
        <v>3</v>
      </c>
      <c r="E1907">
        <v>526.5</v>
      </c>
      <c r="F1907">
        <v>5</v>
      </c>
      <c r="G1907">
        <v>100</v>
      </c>
    </row>
    <row r="1908" spans="1:7" ht="14" x14ac:dyDescent="0.3">
      <c r="A1908" t="s">
        <v>1936</v>
      </c>
      <c r="B1908" t="s">
        <v>8</v>
      </c>
      <c r="C1908">
        <v>5</v>
      </c>
      <c r="D1908">
        <v>6</v>
      </c>
      <c r="E1908">
        <v>524</v>
      </c>
      <c r="F1908">
        <v>4.83</v>
      </c>
      <c r="G1908">
        <v>100</v>
      </c>
    </row>
    <row r="1909" spans="1:7" ht="14" x14ac:dyDescent="0.3">
      <c r="A1909" t="s">
        <v>1937</v>
      </c>
      <c r="B1909" t="s">
        <v>8</v>
      </c>
      <c r="C1909">
        <v>3</v>
      </c>
      <c r="D1909">
        <v>3</v>
      </c>
      <c r="E1909">
        <v>522.83000000000004</v>
      </c>
      <c r="F1909">
        <v>4.67</v>
      </c>
      <c r="G1909">
        <v>100</v>
      </c>
    </row>
    <row r="1910" spans="1:7" ht="14" x14ac:dyDescent="0.3">
      <c r="A1910" t="s">
        <v>1938</v>
      </c>
      <c r="B1910" t="s">
        <v>87</v>
      </c>
      <c r="C1910">
        <v>2</v>
      </c>
      <c r="D1910">
        <v>2</v>
      </c>
      <c r="E1910">
        <v>521.66999999999996</v>
      </c>
      <c r="F1910">
        <v>3</v>
      </c>
      <c r="G1910">
        <v>100</v>
      </c>
    </row>
    <row r="1911" spans="1:7" ht="14" x14ac:dyDescent="0.3">
      <c r="A1911" t="s">
        <v>1939</v>
      </c>
      <c r="B1911" t="s">
        <v>8</v>
      </c>
      <c r="C1911">
        <v>2</v>
      </c>
      <c r="D1911">
        <v>3</v>
      </c>
      <c r="E1911">
        <v>518.70000000000005</v>
      </c>
      <c r="F1911">
        <v>4.33</v>
      </c>
      <c r="G1911">
        <v>100</v>
      </c>
    </row>
    <row r="1912" spans="1:7" ht="14" x14ac:dyDescent="0.3">
      <c r="A1912" t="s">
        <v>1940</v>
      </c>
      <c r="B1912" t="s">
        <v>42</v>
      </c>
      <c r="C1912">
        <v>4</v>
      </c>
      <c r="D1912">
        <v>5</v>
      </c>
      <c r="E1912">
        <v>518.41</v>
      </c>
      <c r="F1912">
        <v>3.2</v>
      </c>
      <c r="G1912">
        <v>100</v>
      </c>
    </row>
    <row r="1913" spans="1:7" ht="14" x14ac:dyDescent="0.3">
      <c r="A1913" t="s">
        <v>1941</v>
      </c>
      <c r="B1913" t="s">
        <v>8</v>
      </c>
      <c r="C1913">
        <v>3</v>
      </c>
      <c r="D1913">
        <v>3</v>
      </c>
      <c r="E1913">
        <v>516.91</v>
      </c>
      <c r="F1913">
        <v>4.67</v>
      </c>
      <c r="G1913">
        <v>100</v>
      </c>
    </row>
    <row r="1914" spans="1:7" ht="14" x14ac:dyDescent="0.3">
      <c r="A1914" t="s">
        <v>1942</v>
      </c>
      <c r="B1914" t="s">
        <v>87</v>
      </c>
      <c r="C1914">
        <v>7</v>
      </c>
      <c r="D1914">
        <v>8</v>
      </c>
      <c r="E1914">
        <v>516.20000000000005</v>
      </c>
      <c r="F1914">
        <v>4.13</v>
      </c>
      <c r="G1914">
        <v>100</v>
      </c>
    </row>
    <row r="1915" spans="1:7" ht="14" x14ac:dyDescent="0.3">
      <c r="A1915" t="s">
        <v>1943</v>
      </c>
      <c r="B1915" t="s">
        <v>32</v>
      </c>
      <c r="C1915">
        <v>3</v>
      </c>
      <c r="D1915">
        <v>3</v>
      </c>
      <c r="E1915">
        <v>514.92999999999995</v>
      </c>
      <c r="F1915">
        <v>5</v>
      </c>
      <c r="G1915">
        <v>100</v>
      </c>
    </row>
    <row r="1916" spans="1:7" ht="14" x14ac:dyDescent="0.3">
      <c r="A1916" t="s">
        <v>1944</v>
      </c>
      <c r="B1916" t="s">
        <v>8</v>
      </c>
      <c r="C1916">
        <v>3</v>
      </c>
      <c r="D1916">
        <v>3</v>
      </c>
      <c r="E1916">
        <v>514.9</v>
      </c>
      <c r="F1916">
        <v>5</v>
      </c>
      <c r="G1916">
        <v>100</v>
      </c>
    </row>
    <row r="1917" spans="1:7" ht="14" x14ac:dyDescent="0.3">
      <c r="A1917" t="s">
        <v>1945</v>
      </c>
      <c r="B1917" t="s">
        <v>8</v>
      </c>
      <c r="C1917">
        <v>8</v>
      </c>
      <c r="D1917">
        <v>10</v>
      </c>
      <c r="E1917">
        <v>514.63</v>
      </c>
      <c r="F1917">
        <v>4.0999999999999996</v>
      </c>
      <c r="G1917">
        <v>100</v>
      </c>
    </row>
    <row r="1918" spans="1:7" ht="14" x14ac:dyDescent="0.3">
      <c r="A1918" t="s">
        <v>1946</v>
      </c>
      <c r="B1918" t="s">
        <v>8</v>
      </c>
      <c r="C1918">
        <v>23</v>
      </c>
      <c r="D1918">
        <v>24</v>
      </c>
      <c r="E1918">
        <v>514.19000000000005</v>
      </c>
      <c r="F1918">
        <v>4.04</v>
      </c>
      <c r="G1918">
        <v>100</v>
      </c>
    </row>
    <row r="1919" spans="1:7" ht="14" x14ac:dyDescent="0.3">
      <c r="A1919" t="s">
        <v>1947</v>
      </c>
      <c r="B1919" t="s">
        <v>42</v>
      </c>
      <c r="C1919">
        <v>5</v>
      </c>
      <c r="D1919">
        <v>5</v>
      </c>
      <c r="E1919">
        <v>514.16</v>
      </c>
      <c r="F1919">
        <v>4</v>
      </c>
      <c r="G1919">
        <v>100</v>
      </c>
    </row>
    <row r="1920" spans="1:7" ht="14" x14ac:dyDescent="0.3">
      <c r="A1920" t="s">
        <v>1948</v>
      </c>
      <c r="B1920" t="s">
        <v>8</v>
      </c>
      <c r="C1920">
        <v>2</v>
      </c>
      <c r="D1920">
        <v>2</v>
      </c>
      <c r="E1920">
        <v>513.08000000000004</v>
      </c>
      <c r="F1920">
        <v>5</v>
      </c>
      <c r="G1920">
        <v>100</v>
      </c>
    </row>
    <row r="1921" spans="1:7" ht="14" x14ac:dyDescent="0.3">
      <c r="A1921" t="s">
        <v>1949</v>
      </c>
      <c r="B1921" t="s">
        <v>8</v>
      </c>
      <c r="C1921">
        <v>1</v>
      </c>
      <c r="D1921">
        <v>1</v>
      </c>
      <c r="E1921">
        <v>511.76</v>
      </c>
      <c r="F1921">
        <v>4</v>
      </c>
      <c r="G1921">
        <v>100</v>
      </c>
    </row>
    <row r="1922" spans="1:7" ht="14" x14ac:dyDescent="0.3">
      <c r="A1922" t="s">
        <v>1950</v>
      </c>
      <c r="B1922" t="s">
        <v>8</v>
      </c>
      <c r="C1922">
        <v>6</v>
      </c>
      <c r="D1922">
        <v>6</v>
      </c>
      <c r="E1922">
        <v>511.25</v>
      </c>
      <c r="F1922">
        <v>4.33</v>
      </c>
      <c r="G1922">
        <v>100</v>
      </c>
    </row>
    <row r="1923" spans="1:7" ht="14" x14ac:dyDescent="0.3">
      <c r="A1923" t="s">
        <v>1951</v>
      </c>
      <c r="B1923" t="s">
        <v>32</v>
      </c>
      <c r="C1923">
        <v>2</v>
      </c>
      <c r="D1923">
        <v>2</v>
      </c>
      <c r="E1923">
        <v>508.63</v>
      </c>
      <c r="F1923">
        <v>4</v>
      </c>
      <c r="G1923">
        <v>100</v>
      </c>
    </row>
    <row r="1924" spans="1:7" ht="14" x14ac:dyDescent="0.3">
      <c r="A1924" t="s">
        <v>1952</v>
      </c>
      <c r="B1924" t="s">
        <v>32</v>
      </c>
      <c r="C1924">
        <v>10</v>
      </c>
      <c r="D1924">
        <v>10</v>
      </c>
      <c r="E1924">
        <v>508.12</v>
      </c>
      <c r="F1924">
        <v>4.8</v>
      </c>
      <c r="G1924">
        <v>90</v>
      </c>
    </row>
    <row r="1925" spans="1:7" ht="14" x14ac:dyDescent="0.3">
      <c r="A1925" t="s">
        <v>1953</v>
      </c>
      <c r="B1925" t="s">
        <v>8</v>
      </c>
      <c r="C1925">
        <v>2</v>
      </c>
      <c r="D1925">
        <v>2</v>
      </c>
      <c r="E1925">
        <v>507.43</v>
      </c>
      <c r="F1925">
        <v>4.5</v>
      </c>
      <c r="G1925">
        <v>100</v>
      </c>
    </row>
    <row r="1926" spans="1:7" ht="14" x14ac:dyDescent="0.3">
      <c r="A1926" t="s">
        <v>1954</v>
      </c>
      <c r="B1926" t="s">
        <v>8</v>
      </c>
      <c r="C1926">
        <v>4</v>
      </c>
      <c r="D1926">
        <v>4</v>
      </c>
      <c r="E1926">
        <v>507.13</v>
      </c>
      <c r="F1926">
        <v>4.75</v>
      </c>
      <c r="G1926">
        <v>100</v>
      </c>
    </row>
    <row r="1927" spans="1:7" ht="14" x14ac:dyDescent="0.3">
      <c r="A1927" t="s">
        <v>1955</v>
      </c>
      <c r="B1927" t="s">
        <v>22</v>
      </c>
      <c r="C1927">
        <v>12</v>
      </c>
      <c r="D1927">
        <v>13</v>
      </c>
      <c r="E1927">
        <v>504.24</v>
      </c>
      <c r="F1927">
        <v>3.85</v>
      </c>
      <c r="G1927">
        <v>92.3</v>
      </c>
    </row>
    <row r="1928" spans="1:7" ht="14" x14ac:dyDescent="0.3">
      <c r="A1928" t="s">
        <v>1956</v>
      </c>
      <c r="B1928" t="s">
        <v>22</v>
      </c>
      <c r="C1928">
        <v>9</v>
      </c>
      <c r="D1928">
        <v>9</v>
      </c>
      <c r="E1928">
        <v>501.76</v>
      </c>
      <c r="F1928">
        <v>4.4400000000000004</v>
      </c>
      <c r="G1928">
        <v>77.8</v>
      </c>
    </row>
    <row r="1929" spans="1:7" ht="14" x14ac:dyDescent="0.3">
      <c r="A1929" t="s">
        <v>1957</v>
      </c>
      <c r="B1929" t="s">
        <v>32</v>
      </c>
      <c r="C1929">
        <v>8</v>
      </c>
      <c r="D1929">
        <v>8</v>
      </c>
      <c r="E1929">
        <v>500.08</v>
      </c>
      <c r="F1929">
        <v>2.71</v>
      </c>
      <c r="G1929">
        <v>100</v>
      </c>
    </row>
    <row r="1930" spans="1:7" ht="14" x14ac:dyDescent="0.3">
      <c r="A1930" t="s">
        <v>1958</v>
      </c>
      <c r="B1930" t="s">
        <v>8</v>
      </c>
      <c r="C1930">
        <v>13</v>
      </c>
      <c r="D1930">
        <v>13</v>
      </c>
      <c r="E1930">
        <v>499.47</v>
      </c>
      <c r="F1930">
        <v>4.08</v>
      </c>
      <c r="G1930">
        <v>92.3</v>
      </c>
    </row>
    <row r="1931" spans="1:7" ht="14" x14ac:dyDescent="0.3">
      <c r="A1931" t="s">
        <v>1959</v>
      </c>
      <c r="B1931" t="s">
        <v>8</v>
      </c>
      <c r="C1931">
        <v>3</v>
      </c>
      <c r="D1931">
        <v>3</v>
      </c>
      <c r="E1931">
        <v>498.35</v>
      </c>
      <c r="F1931">
        <v>4.67</v>
      </c>
      <c r="G1931">
        <v>100</v>
      </c>
    </row>
    <row r="1932" spans="1:7" ht="14" x14ac:dyDescent="0.3">
      <c r="A1932" t="s">
        <v>1960</v>
      </c>
      <c r="B1932" t="s">
        <v>8</v>
      </c>
      <c r="C1932">
        <v>4</v>
      </c>
      <c r="D1932">
        <v>7</v>
      </c>
      <c r="E1932">
        <v>496.03</v>
      </c>
      <c r="F1932">
        <v>4.8600000000000003</v>
      </c>
      <c r="G1932">
        <v>100</v>
      </c>
    </row>
    <row r="1933" spans="1:7" ht="14" x14ac:dyDescent="0.3">
      <c r="A1933" t="s">
        <v>1961</v>
      </c>
      <c r="B1933" t="s">
        <v>8</v>
      </c>
      <c r="C1933">
        <v>5</v>
      </c>
      <c r="D1933">
        <v>5</v>
      </c>
      <c r="E1933">
        <v>491.91</v>
      </c>
      <c r="F1933">
        <v>5</v>
      </c>
      <c r="G1933">
        <v>100</v>
      </c>
    </row>
    <row r="1934" spans="1:7" ht="14" x14ac:dyDescent="0.3">
      <c r="A1934" t="s">
        <v>1962</v>
      </c>
      <c r="B1934" t="s">
        <v>8</v>
      </c>
      <c r="C1934">
        <v>4</v>
      </c>
      <c r="D1934">
        <v>4</v>
      </c>
      <c r="E1934">
        <v>491.33</v>
      </c>
      <c r="F1934">
        <v>3.75</v>
      </c>
      <c r="G1934">
        <v>100</v>
      </c>
    </row>
    <row r="1935" spans="1:7" ht="14" x14ac:dyDescent="0.3">
      <c r="A1935" t="s">
        <v>1963</v>
      </c>
      <c r="B1935" t="s">
        <v>8</v>
      </c>
      <c r="C1935">
        <v>9</v>
      </c>
      <c r="D1935">
        <v>9</v>
      </c>
      <c r="E1935">
        <v>491.21</v>
      </c>
      <c r="F1935">
        <v>3.56</v>
      </c>
      <c r="G1935">
        <v>88.9</v>
      </c>
    </row>
    <row r="1936" spans="1:7" ht="14" x14ac:dyDescent="0.3">
      <c r="A1936" t="s">
        <v>1964</v>
      </c>
      <c r="B1936" t="s">
        <v>8</v>
      </c>
      <c r="C1936">
        <v>4</v>
      </c>
      <c r="D1936">
        <v>4</v>
      </c>
      <c r="E1936">
        <v>491.2</v>
      </c>
      <c r="F1936">
        <v>4.75</v>
      </c>
      <c r="G1936">
        <v>100</v>
      </c>
    </row>
    <row r="1937" spans="1:7" ht="14" x14ac:dyDescent="0.3">
      <c r="A1937" t="s">
        <v>1965</v>
      </c>
      <c r="B1937" t="s">
        <v>8</v>
      </c>
      <c r="C1937">
        <v>4</v>
      </c>
      <c r="D1937">
        <v>7</v>
      </c>
      <c r="E1937">
        <v>490.39</v>
      </c>
      <c r="F1937">
        <v>4.43</v>
      </c>
      <c r="G1937">
        <v>100</v>
      </c>
    </row>
    <row r="1938" spans="1:7" ht="14" x14ac:dyDescent="0.3">
      <c r="A1938" s="1" t="s">
        <v>1966</v>
      </c>
      <c r="B1938" t="s">
        <v>24</v>
      </c>
      <c r="C1938">
        <v>4</v>
      </c>
      <c r="D1938">
        <v>4</v>
      </c>
      <c r="E1938">
        <v>488.25</v>
      </c>
      <c r="F1938">
        <v>4.25</v>
      </c>
      <c r="G1938">
        <v>100</v>
      </c>
    </row>
    <row r="1939" spans="1:7" ht="14" x14ac:dyDescent="0.3">
      <c r="A1939" t="s">
        <v>1967</v>
      </c>
      <c r="B1939" t="s">
        <v>8</v>
      </c>
      <c r="C1939">
        <v>8</v>
      </c>
      <c r="D1939">
        <v>13</v>
      </c>
      <c r="E1939">
        <v>487.65</v>
      </c>
      <c r="F1939">
        <v>2.77</v>
      </c>
      <c r="G1939">
        <v>100</v>
      </c>
    </row>
    <row r="1940" spans="1:7" ht="14" x14ac:dyDescent="0.3">
      <c r="A1940" t="s">
        <v>1968</v>
      </c>
      <c r="B1940" t="s">
        <v>42</v>
      </c>
      <c r="C1940">
        <v>4</v>
      </c>
      <c r="D1940">
        <v>4</v>
      </c>
      <c r="E1940">
        <v>487.48</v>
      </c>
      <c r="F1940">
        <v>4</v>
      </c>
      <c r="G1940">
        <v>100</v>
      </c>
    </row>
    <row r="1941" spans="1:7" ht="14" x14ac:dyDescent="0.3">
      <c r="A1941" t="s">
        <v>1969</v>
      </c>
      <c r="B1941" t="s">
        <v>87</v>
      </c>
      <c r="C1941">
        <v>1</v>
      </c>
      <c r="D1941">
        <v>1</v>
      </c>
      <c r="E1941">
        <v>487.38</v>
      </c>
      <c r="F1941">
        <v>5</v>
      </c>
      <c r="G1941">
        <v>100</v>
      </c>
    </row>
    <row r="1942" spans="1:7" ht="14" x14ac:dyDescent="0.3">
      <c r="A1942" t="s">
        <v>1970</v>
      </c>
      <c r="B1942" t="s">
        <v>32</v>
      </c>
      <c r="C1942">
        <v>8</v>
      </c>
      <c r="D1942">
        <v>8</v>
      </c>
      <c r="E1942">
        <v>486.14</v>
      </c>
      <c r="F1942">
        <v>4.13</v>
      </c>
      <c r="G1942">
        <v>100</v>
      </c>
    </row>
    <row r="1943" spans="1:7" ht="14" x14ac:dyDescent="0.3">
      <c r="A1943" t="s">
        <v>1971</v>
      </c>
      <c r="B1943" t="s">
        <v>8</v>
      </c>
      <c r="C1943">
        <v>3</v>
      </c>
      <c r="D1943">
        <v>11</v>
      </c>
      <c r="E1943">
        <v>485.05</v>
      </c>
      <c r="F1943">
        <v>5</v>
      </c>
      <c r="G1943">
        <v>100</v>
      </c>
    </row>
    <row r="1944" spans="1:7" ht="14" x14ac:dyDescent="0.3">
      <c r="A1944" t="s">
        <v>1972</v>
      </c>
      <c r="B1944" t="s">
        <v>8</v>
      </c>
      <c r="C1944">
        <v>2</v>
      </c>
      <c r="D1944">
        <v>2</v>
      </c>
      <c r="E1944">
        <v>484.8</v>
      </c>
      <c r="F1944">
        <v>5</v>
      </c>
      <c r="G1944">
        <v>100</v>
      </c>
    </row>
    <row r="1945" spans="1:7" ht="14" x14ac:dyDescent="0.3">
      <c r="A1945" t="s">
        <v>1973</v>
      </c>
      <c r="B1945" t="s">
        <v>8</v>
      </c>
      <c r="C1945">
        <v>2</v>
      </c>
      <c r="D1945">
        <v>2</v>
      </c>
      <c r="E1945">
        <v>484.34</v>
      </c>
      <c r="F1945">
        <v>4.5</v>
      </c>
      <c r="G1945">
        <v>100</v>
      </c>
    </row>
    <row r="1946" spans="1:7" ht="14" x14ac:dyDescent="0.3">
      <c r="A1946" t="s">
        <v>1974</v>
      </c>
      <c r="B1946" t="s">
        <v>32</v>
      </c>
      <c r="C1946">
        <v>4</v>
      </c>
      <c r="D1946">
        <v>5</v>
      </c>
      <c r="E1946">
        <v>483.92</v>
      </c>
      <c r="F1946">
        <v>4.8</v>
      </c>
      <c r="G1946">
        <v>100</v>
      </c>
    </row>
    <row r="1947" spans="1:7" ht="14" x14ac:dyDescent="0.3">
      <c r="A1947" t="s">
        <v>1975</v>
      </c>
      <c r="B1947" t="s">
        <v>8</v>
      </c>
      <c r="C1947">
        <v>7</v>
      </c>
      <c r="D1947">
        <v>9</v>
      </c>
      <c r="E1947">
        <v>483.63</v>
      </c>
      <c r="F1947">
        <v>4.4400000000000004</v>
      </c>
      <c r="G1947">
        <v>100</v>
      </c>
    </row>
    <row r="1948" spans="1:7" ht="14" x14ac:dyDescent="0.3">
      <c r="A1948" t="s">
        <v>1976</v>
      </c>
      <c r="B1948" t="s">
        <v>8</v>
      </c>
      <c r="C1948">
        <v>3</v>
      </c>
      <c r="D1948">
        <v>3</v>
      </c>
      <c r="E1948">
        <v>482.85</v>
      </c>
      <c r="F1948">
        <v>4.67</v>
      </c>
      <c r="G1948">
        <v>100</v>
      </c>
    </row>
    <row r="1949" spans="1:7" ht="14" x14ac:dyDescent="0.3">
      <c r="A1949" t="s">
        <v>1977</v>
      </c>
      <c r="B1949" t="s">
        <v>32</v>
      </c>
      <c r="C1949">
        <v>1</v>
      </c>
      <c r="D1949">
        <v>1</v>
      </c>
      <c r="E1949">
        <v>482.6</v>
      </c>
      <c r="F1949">
        <v>5</v>
      </c>
      <c r="G1949">
        <v>100</v>
      </c>
    </row>
    <row r="1950" spans="1:7" ht="14" x14ac:dyDescent="0.3">
      <c r="A1950" t="s">
        <v>1978</v>
      </c>
      <c r="B1950" t="s">
        <v>8</v>
      </c>
      <c r="C1950">
        <v>4</v>
      </c>
      <c r="D1950">
        <v>5</v>
      </c>
      <c r="E1950">
        <v>481.67</v>
      </c>
      <c r="F1950">
        <v>3.8</v>
      </c>
      <c r="G1950">
        <v>100</v>
      </c>
    </row>
    <row r="1951" spans="1:7" ht="14" x14ac:dyDescent="0.3">
      <c r="A1951" t="s">
        <v>1979</v>
      </c>
      <c r="B1951" t="s">
        <v>32</v>
      </c>
      <c r="C1951">
        <v>4</v>
      </c>
      <c r="D1951">
        <v>4</v>
      </c>
      <c r="E1951">
        <v>481.48</v>
      </c>
      <c r="F1951">
        <v>4.75</v>
      </c>
      <c r="G1951">
        <v>100</v>
      </c>
    </row>
    <row r="1952" spans="1:7" ht="14" x14ac:dyDescent="0.3">
      <c r="A1952" t="s">
        <v>1980</v>
      </c>
      <c r="B1952" t="s">
        <v>8</v>
      </c>
      <c r="C1952">
        <v>4</v>
      </c>
      <c r="D1952">
        <v>4</v>
      </c>
      <c r="E1952">
        <v>481.38</v>
      </c>
      <c r="F1952">
        <v>3.75</v>
      </c>
      <c r="G1952">
        <v>100</v>
      </c>
    </row>
    <row r="1953" spans="1:7" ht="14" x14ac:dyDescent="0.3">
      <c r="A1953" t="s">
        <v>1981</v>
      </c>
      <c r="B1953" t="s">
        <v>42</v>
      </c>
      <c r="C1953">
        <v>5</v>
      </c>
      <c r="D1953">
        <v>10</v>
      </c>
      <c r="E1953">
        <v>480.67</v>
      </c>
      <c r="F1953">
        <v>4.5999999999999996</v>
      </c>
      <c r="G1953">
        <v>100</v>
      </c>
    </row>
    <row r="1954" spans="1:7" ht="14" x14ac:dyDescent="0.3">
      <c r="A1954" t="s">
        <v>1982</v>
      </c>
      <c r="B1954" t="s">
        <v>8</v>
      </c>
      <c r="C1954">
        <v>4</v>
      </c>
      <c r="D1954">
        <v>4</v>
      </c>
      <c r="E1954">
        <v>478.82</v>
      </c>
      <c r="F1954">
        <v>4.75</v>
      </c>
      <c r="G1954">
        <v>100</v>
      </c>
    </row>
    <row r="1955" spans="1:7" ht="14" x14ac:dyDescent="0.3">
      <c r="A1955" t="s">
        <v>1983</v>
      </c>
      <c r="B1955" t="s">
        <v>8</v>
      </c>
      <c r="C1955">
        <v>3</v>
      </c>
      <c r="D1955">
        <v>3</v>
      </c>
      <c r="E1955">
        <v>478.57</v>
      </c>
      <c r="F1955">
        <v>3.67</v>
      </c>
      <c r="G1955">
        <v>66.7</v>
      </c>
    </row>
    <row r="1956" spans="1:7" ht="14" x14ac:dyDescent="0.3">
      <c r="A1956" t="s">
        <v>1984</v>
      </c>
      <c r="B1956" t="s">
        <v>32</v>
      </c>
      <c r="C1956">
        <v>7</v>
      </c>
      <c r="D1956">
        <v>8</v>
      </c>
      <c r="E1956">
        <v>477.88</v>
      </c>
      <c r="F1956">
        <v>3.88</v>
      </c>
      <c r="G1956">
        <v>75</v>
      </c>
    </row>
    <row r="1957" spans="1:7" ht="14" x14ac:dyDescent="0.3">
      <c r="A1957" t="s">
        <v>1985</v>
      </c>
      <c r="B1957" t="s">
        <v>32</v>
      </c>
      <c r="C1957">
        <v>3</v>
      </c>
      <c r="D1957">
        <v>3</v>
      </c>
      <c r="E1957">
        <v>477.01</v>
      </c>
      <c r="F1957">
        <v>3.67</v>
      </c>
      <c r="G1957">
        <v>100</v>
      </c>
    </row>
    <row r="1958" spans="1:7" ht="14" x14ac:dyDescent="0.3">
      <c r="A1958" t="s">
        <v>1986</v>
      </c>
      <c r="B1958" t="s">
        <v>8</v>
      </c>
      <c r="C1958">
        <v>2</v>
      </c>
      <c r="D1958">
        <v>2</v>
      </c>
      <c r="E1958">
        <v>476.98</v>
      </c>
      <c r="F1958">
        <v>5</v>
      </c>
      <c r="G1958">
        <v>100</v>
      </c>
    </row>
    <row r="1959" spans="1:7" ht="14" x14ac:dyDescent="0.3">
      <c r="A1959" t="s">
        <v>1987</v>
      </c>
      <c r="B1959" t="s">
        <v>32</v>
      </c>
      <c r="C1959">
        <v>1</v>
      </c>
      <c r="D1959">
        <v>1</v>
      </c>
      <c r="E1959">
        <v>476.51</v>
      </c>
      <c r="F1959">
        <v>5</v>
      </c>
      <c r="G1959">
        <v>100</v>
      </c>
    </row>
    <row r="1960" spans="1:7" ht="14" x14ac:dyDescent="0.3">
      <c r="A1960" t="s">
        <v>1988</v>
      </c>
      <c r="B1960" t="s">
        <v>8</v>
      </c>
      <c r="C1960">
        <v>3</v>
      </c>
      <c r="D1960">
        <v>4</v>
      </c>
      <c r="E1960">
        <v>475.88</v>
      </c>
      <c r="F1960">
        <v>3</v>
      </c>
      <c r="G1960">
        <v>100</v>
      </c>
    </row>
    <row r="1961" spans="1:7" ht="14" x14ac:dyDescent="0.3">
      <c r="A1961" t="s">
        <v>1989</v>
      </c>
      <c r="B1961" t="s">
        <v>8</v>
      </c>
      <c r="C1961">
        <v>8</v>
      </c>
      <c r="D1961">
        <v>8</v>
      </c>
      <c r="E1961">
        <v>474.35</v>
      </c>
      <c r="F1961">
        <v>3.25</v>
      </c>
      <c r="G1961">
        <v>100</v>
      </c>
    </row>
    <row r="1962" spans="1:7" ht="14" x14ac:dyDescent="0.3">
      <c r="A1962" t="s">
        <v>1990</v>
      </c>
      <c r="B1962" t="s">
        <v>8</v>
      </c>
      <c r="C1962">
        <v>3</v>
      </c>
      <c r="D1962">
        <v>6</v>
      </c>
      <c r="E1962">
        <v>474.26</v>
      </c>
      <c r="F1962">
        <v>4.33</v>
      </c>
      <c r="G1962">
        <v>100</v>
      </c>
    </row>
    <row r="1963" spans="1:7" ht="14" x14ac:dyDescent="0.3">
      <c r="A1963" t="s">
        <v>1991</v>
      </c>
      <c r="B1963" t="s">
        <v>8</v>
      </c>
      <c r="C1963">
        <v>4</v>
      </c>
      <c r="D1963">
        <v>4</v>
      </c>
      <c r="E1963">
        <v>473.46</v>
      </c>
      <c r="F1963">
        <v>4.75</v>
      </c>
      <c r="G1963">
        <v>100</v>
      </c>
    </row>
    <row r="1964" spans="1:7" ht="14" x14ac:dyDescent="0.3">
      <c r="A1964" t="s">
        <v>1992</v>
      </c>
      <c r="B1964" t="s">
        <v>8</v>
      </c>
      <c r="C1964">
        <v>3</v>
      </c>
      <c r="D1964">
        <v>3</v>
      </c>
      <c r="E1964">
        <v>471.61</v>
      </c>
      <c r="F1964">
        <v>2.67</v>
      </c>
      <c r="G1964">
        <v>66.7</v>
      </c>
    </row>
    <row r="1965" spans="1:7" ht="14" x14ac:dyDescent="0.3">
      <c r="A1965" t="s">
        <v>1993</v>
      </c>
      <c r="B1965" t="s">
        <v>32</v>
      </c>
      <c r="C1965">
        <v>1</v>
      </c>
      <c r="D1965">
        <v>1</v>
      </c>
      <c r="E1965">
        <v>471.05</v>
      </c>
      <c r="F1965">
        <v>5</v>
      </c>
      <c r="G1965">
        <v>100</v>
      </c>
    </row>
    <row r="1966" spans="1:7" ht="14" x14ac:dyDescent="0.3">
      <c r="A1966" t="s">
        <v>1994</v>
      </c>
      <c r="B1966" t="s">
        <v>22</v>
      </c>
      <c r="C1966">
        <v>7</v>
      </c>
      <c r="D1966">
        <v>8</v>
      </c>
      <c r="E1966">
        <v>468.98</v>
      </c>
      <c r="F1966">
        <v>4.25</v>
      </c>
      <c r="G1966">
        <v>100</v>
      </c>
    </row>
    <row r="1967" spans="1:7" ht="14" x14ac:dyDescent="0.3">
      <c r="A1967" t="s">
        <v>1995</v>
      </c>
      <c r="B1967" t="s">
        <v>368</v>
      </c>
      <c r="C1967">
        <v>2</v>
      </c>
      <c r="D1967">
        <v>2</v>
      </c>
      <c r="E1967">
        <v>468.94</v>
      </c>
      <c r="F1967">
        <v>4.5</v>
      </c>
      <c r="G1967">
        <v>100</v>
      </c>
    </row>
    <row r="1968" spans="1:7" ht="14" x14ac:dyDescent="0.3">
      <c r="A1968" t="s">
        <v>1996</v>
      </c>
      <c r="B1968" t="s">
        <v>22</v>
      </c>
      <c r="C1968">
        <v>1</v>
      </c>
      <c r="D1968">
        <v>1</v>
      </c>
      <c r="E1968">
        <v>468.8</v>
      </c>
      <c r="F1968">
        <v>5</v>
      </c>
      <c r="G1968">
        <v>0</v>
      </c>
    </row>
    <row r="1969" spans="1:7" ht="14" x14ac:dyDescent="0.3">
      <c r="A1969" t="s">
        <v>1997</v>
      </c>
      <c r="B1969" t="s">
        <v>32</v>
      </c>
      <c r="C1969">
        <v>1</v>
      </c>
      <c r="D1969">
        <v>1</v>
      </c>
      <c r="E1969">
        <v>467.61</v>
      </c>
      <c r="F1969">
        <v>5</v>
      </c>
      <c r="G1969">
        <v>100</v>
      </c>
    </row>
    <row r="1970" spans="1:7" ht="14" x14ac:dyDescent="0.3">
      <c r="A1970" t="s">
        <v>1998</v>
      </c>
      <c r="B1970" t="s">
        <v>32</v>
      </c>
      <c r="C1970">
        <v>4</v>
      </c>
      <c r="D1970">
        <v>4</v>
      </c>
      <c r="E1970">
        <v>463.92</v>
      </c>
      <c r="F1970">
        <v>4.75</v>
      </c>
      <c r="G1970">
        <v>100</v>
      </c>
    </row>
    <row r="1971" spans="1:7" ht="14" x14ac:dyDescent="0.3">
      <c r="A1971" t="s">
        <v>1999</v>
      </c>
      <c r="B1971" t="s">
        <v>8</v>
      </c>
      <c r="C1971">
        <v>9</v>
      </c>
      <c r="D1971">
        <v>11</v>
      </c>
      <c r="E1971">
        <v>459.32</v>
      </c>
      <c r="F1971">
        <v>4.2699999999999996</v>
      </c>
      <c r="G1971">
        <v>100</v>
      </c>
    </row>
    <row r="1972" spans="1:7" ht="14" x14ac:dyDescent="0.3">
      <c r="A1972" t="s">
        <v>2000</v>
      </c>
      <c r="B1972" t="s">
        <v>8</v>
      </c>
      <c r="C1972">
        <v>9</v>
      </c>
      <c r="D1972">
        <v>10</v>
      </c>
      <c r="E1972">
        <v>458.5</v>
      </c>
      <c r="F1972">
        <v>4.3</v>
      </c>
      <c r="G1972">
        <v>100</v>
      </c>
    </row>
    <row r="1973" spans="1:7" ht="14" x14ac:dyDescent="0.3">
      <c r="A1973" t="s">
        <v>2001</v>
      </c>
      <c r="B1973" t="s">
        <v>42</v>
      </c>
      <c r="C1973">
        <v>2</v>
      </c>
      <c r="D1973">
        <v>2</v>
      </c>
      <c r="E1973">
        <v>458.24</v>
      </c>
      <c r="F1973">
        <v>4</v>
      </c>
      <c r="G1973">
        <v>100</v>
      </c>
    </row>
    <row r="1974" spans="1:7" ht="14" x14ac:dyDescent="0.3">
      <c r="A1974" t="s">
        <v>2002</v>
      </c>
      <c r="B1974" t="s">
        <v>24</v>
      </c>
      <c r="C1974">
        <v>3</v>
      </c>
      <c r="D1974">
        <v>3</v>
      </c>
      <c r="E1974">
        <v>458.19</v>
      </c>
      <c r="F1974">
        <v>3</v>
      </c>
      <c r="G1974">
        <v>100</v>
      </c>
    </row>
    <row r="1975" spans="1:7" ht="14" x14ac:dyDescent="0.3">
      <c r="A1975" t="s">
        <v>2003</v>
      </c>
      <c r="B1975" t="s">
        <v>8</v>
      </c>
      <c r="C1975">
        <v>7</v>
      </c>
      <c r="D1975">
        <v>8</v>
      </c>
      <c r="E1975">
        <v>457.03</v>
      </c>
      <c r="F1975">
        <v>4.88</v>
      </c>
      <c r="G1975">
        <v>100</v>
      </c>
    </row>
    <row r="1976" spans="1:7" ht="14" x14ac:dyDescent="0.3">
      <c r="A1976" t="s">
        <v>2004</v>
      </c>
      <c r="B1976" t="s">
        <v>8</v>
      </c>
      <c r="C1976">
        <v>2</v>
      </c>
      <c r="D1976">
        <v>3</v>
      </c>
      <c r="E1976">
        <v>456.63</v>
      </c>
      <c r="F1976">
        <v>5</v>
      </c>
      <c r="G1976">
        <v>100</v>
      </c>
    </row>
    <row r="1977" spans="1:7" ht="14" x14ac:dyDescent="0.3">
      <c r="A1977" t="s">
        <v>2005</v>
      </c>
      <c r="B1977" t="s">
        <v>309</v>
      </c>
      <c r="C1977">
        <v>5</v>
      </c>
      <c r="D1977">
        <v>5</v>
      </c>
      <c r="E1977">
        <v>456.6</v>
      </c>
      <c r="F1977">
        <v>4.2</v>
      </c>
      <c r="G1977">
        <v>100</v>
      </c>
    </row>
    <row r="1978" spans="1:7" ht="14" x14ac:dyDescent="0.3">
      <c r="A1978" t="s">
        <v>2006</v>
      </c>
      <c r="B1978" t="s">
        <v>8</v>
      </c>
      <c r="C1978">
        <v>7</v>
      </c>
      <c r="D1978">
        <v>7</v>
      </c>
      <c r="E1978">
        <v>454.66</v>
      </c>
      <c r="F1978">
        <v>4.71</v>
      </c>
      <c r="G1978">
        <v>100</v>
      </c>
    </row>
    <row r="1979" spans="1:7" ht="14" x14ac:dyDescent="0.3">
      <c r="A1979" t="s">
        <v>2007</v>
      </c>
      <c r="B1979" t="s">
        <v>8</v>
      </c>
      <c r="C1979">
        <v>1</v>
      </c>
      <c r="D1979">
        <v>1</v>
      </c>
      <c r="E1979">
        <v>454.17</v>
      </c>
      <c r="F1979">
        <v>5</v>
      </c>
      <c r="G1979">
        <v>100</v>
      </c>
    </row>
    <row r="1980" spans="1:7" ht="14" x14ac:dyDescent="0.3">
      <c r="A1980" t="s">
        <v>2008</v>
      </c>
      <c r="B1980" t="s">
        <v>8</v>
      </c>
      <c r="C1980">
        <v>2</v>
      </c>
      <c r="D1980">
        <v>2</v>
      </c>
      <c r="E1980">
        <v>453.92</v>
      </c>
      <c r="F1980">
        <v>5</v>
      </c>
      <c r="G1980">
        <v>100</v>
      </c>
    </row>
    <row r="1981" spans="1:7" ht="14" x14ac:dyDescent="0.3">
      <c r="A1981" t="s">
        <v>2009</v>
      </c>
      <c r="B1981" t="s">
        <v>309</v>
      </c>
      <c r="C1981">
        <v>4</v>
      </c>
      <c r="D1981">
        <v>5</v>
      </c>
      <c r="E1981">
        <v>453.89</v>
      </c>
      <c r="F1981">
        <v>4.5999999999999996</v>
      </c>
      <c r="G1981">
        <v>80</v>
      </c>
    </row>
    <row r="1982" spans="1:7" ht="14" x14ac:dyDescent="0.3">
      <c r="A1982" t="s">
        <v>2010</v>
      </c>
      <c r="B1982" t="s">
        <v>87</v>
      </c>
      <c r="C1982">
        <v>3</v>
      </c>
      <c r="D1982">
        <v>3</v>
      </c>
      <c r="E1982">
        <v>453.44</v>
      </c>
      <c r="F1982">
        <v>4.67</v>
      </c>
      <c r="G1982">
        <v>100</v>
      </c>
    </row>
    <row r="1983" spans="1:7" ht="14" x14ac:dyDescent="0.3">
      <c r="A1983" t="s">
        <v>2011</v>
      </c>
      <c r="B1983" t="s">
        <v>8</v>
      </c>
      <c r="C1983">
        <v>8</v>
      </c>
      <c r="D1983">
        <v>8</v>
      </c>
      <c r="E1983">
        <v>452.27</v>
      </c>
      <c r="F1983">
        <v>4.13</v>
      </c>
      <c r="G1983">
        <v>87.5</v>
      </c>
    </row>
    <row r="1984" spans="1:7" ht="14" x14ac:dyDescent="0.3">
      <c r="A1984" t="s">
        <v>2012</v>
      </c>
      <c r="B1984" t="s">
        <v>42</v>
      </c>
      <c r="C1984">
        <v>5</v>
      </c>
      <c r="D1984">
        <v>5</v>
      </c>
      <c r="E1984">
        <v>451.38</v>
      </c>
      <c r="F1984">
        <v>4.4000000000000004</v>
      </c>
      <c r="G1984">
        <v>100</v>
      </c>
    </row>
    <row r="1985" spans="1:7" ht="14" x14ac:dyDescent="0.3">
      <c r="A1985" t="s">
        <v>2013</v>
      </c>
      <c r="B1985" t="s">
        <v>8</v>
      </c>
      <c r="C1985">
        <v>1</v>
      </c>
      <c r="D1985">
        <v>1</v>
      </c>
      <c r="E1985">
        <v>451.28</v>
      </c>
      <c r="F1985">
        <v>3</v>
      </c>
      <c r="G1985">
        <v>0</v>
      </c>
    </row>
    <row r="1986" spans="1:7" ht="14" x14ac:dyDescent="0.3">
      <c r="A1986" t="s">
        <v>2014</v>
      </c>
      <c r="B1986" t="s">
        <v>8</v>
      </c>
      <c r="C1986">
        <v>3</v>
      </c>
      <c r="D1986">
        <v>3</v>
      </c>
      <c r="E1986">
        <v>450.1</v>
      </c>
      <c r="F1986">
        <v>3.67</v>
      </c>
      <c r="G1986">
        <v>66.7</v>
      </c>
    </row>
    <row r="1987" spans="1:7" ht="14" x14ac:dyDescent="0.3">
      <c r="A1987" t="s">
        <v>2015</v>
      </c>
      <c r="B1987" t="s">
        <v>8</v>
      </c>
      <c r="C1987">
        <v>1</v>
      </c>
      <c r="D1987">
        <v>1</v>
      </c>
      <c r="E1987">
        <v>449.65</v>
      </c>
      <c r="F1987">
        <v>5</v>
      </c>
      <c r="G1987">
        <v>100</v>
      </c>
    </row>
    <row r="1988" spans="1:7" ht="14" x14ac:dyDescent="0.3">
      <c r="A1988" t="s">
        <v>2016</v>
      </c>
      <c r="B1988" t="s">
        <v>8</v>
      </c>
      <c r="C1988">
        <v>5</v>
      </c>
      <c r="D1988">
        <v>5</v>
      </c>
      <c r="E1988">
        <v>446.82</v>
      </c>
      <c r="F1988">
        <v>3.8</v>
      </c>
      <c r="G1988">
        <v>100</v>
      </c>
    </row>
    <row r="1989" spans="1:7" ht="14" x14ac:dyDescent="0.3">
      <c r="A1989" t="s">
        <v>2017</v>
      </c>
      <c r="B1989" t="s">
        <v>8</v>
      </c>
      <c r="C1989">
        <v>11</v>
      </c>
      <c r="D1989">
        <v>11</v>
      </c>
      <c r="E1989">
        <v>446.66</v>
      </c>
      <c r="F1989">
        <v>4.91</v>
      </c>
      <c r="G1989">
        <v>100</v>
      </c>
    </row>
    <row r="1990" spans="1:7" ht="14" x14ac:dyDescent="0.3">
      <c r="A1990" t="s">
        <v>2018</v>
      </c>
      <c r="B1990" t="s">
        <v>24</v>
      </c>
      <c r="C1990">
        <v>3</v>
      </c>
      <c r="D1990">
        <v>3</v>
      </c>
      <c r="E1990">
        <v>445.53</v>
      </c>
      <c r="F1990">
        <v>4</v>
      </c>
      <c r="G1990">
        <v>100</v>
      </c>
    </row>
    <row r="1991" spans="1:7" ht="14" x14ac:dyDescent="0.3">
      <c r="A1991" t="s">
        <v>2019</v>
      </c>
      <c r="B1991" t="s">
        <v>8</v>
      </c>
      <c r="C1991">
        <v>2</v>
      </c>
      <c r="D1991">
        <v>2</v>
      </c>
      <c r="E1991">
        <v>444.99</v>
      </c>
      <c r="F1991">
        <v>5</v>
      </c>
      <c r="G1991">
        <v>100</v>
      </c>
    </row>
    <row r="1992" spans="1:7" ht="14" x14ac:dyDescent="0.3">
      <c r="A1992" t="s">
        <v>2020</v>
      </c>
      <c r="B1992" t="s">
        <v>8</v>
      </c>
      <c r="C1992">
        <v>7</v>
      </c>
      <c r="D1992">
        <v>7</v>
      </c>
      <c r="E1992">
        <v>444.11</v>
      </c>
      <c r="F1992">
        <v>4.43</v>
      </c>
      <c r="G1992">
        <v>71.400000000000006</v>
      </c>
    </row>
    <row r="1993" spans="1:7" ht="14" x14ac:dyDescent="0.3">
      <c r="A1993" t="s">
        <v>2021</v>
      </c>
      <c r="B1993" t="s">
        <v>8</v>
      </c>
      <c r="C1993">
        <v>1</v>
      </c>
      <c r="D1993">
        <v>1</v>
      </c>
      <c r="E1993">
        <v>444.07</v>
      </c>
      <c r="F1993">
        <v>5</v>
      </c>
      <c r="G1993">
        <v>100</v>
      </c>
    </row>
    <row r="1994" spans="1:7" ht="14" x14ac:dyDescent="0.3">
      <c r="A1994" t="s">
        <v>2022</v>
      </c>
      <c r="B1994" t="s">
        <v>8</v>
      </c>
      <c r="C1994">
        <v>7</v>
      </c>
      <c r="D1994">
        <v>7</v>
      </c>
      <c r="E1994">
        <v>442.99</v>
      </c>
      <c r="F1994">
        <v>4.57</v>
      </c>
      <c r="G1994">
        <v>100</v>
      </c>
    </row>
    <row r="1995" spans="1:7" ht="14" x14ac:dyDescent="0.3">
      <c r="A1995" t="s">
        <v>2023</v>
      </c>
      <c r="B1995" t="s">
        <v>87</v>
      </c>
      <c r="C1995">
        <v>7</v>
      </c>
      <c r="D1995">
        <v>10</v>
      </c>
      <c r="E1995">
        <v>442.99</v>
      </c>
      <c r="F1995">
        <v>4.7</v>
      </c>
      <c r="G1995">
        <v>100</v>
      </c>
    </row>
    <row r="1996" spans="1:7" ht="14" x14ac:dyDescent="0.3">
      <c r="A1996" t="s">
        <v>2024</v>
      </c>
      <c r="B1996" t="s">
        <v>8</v>
      </c>
      <c r="C1996">
        <v>10</v>
      </c>
      <c r="D1996">
        <v>11</v>
      </c>
      <c r="E1996">
        <v>442.14</v>
      </c>
      <c r="F1996">
        <v>3.91</v>
      </c>
      <c r="G1996">
        <v>90.9</v>
      </c>
    </row>
    <row r="1997" spans="1:7" ht="14" x14ac:dyDescent="0.3">
      <c r="A1997" t="s">
        <v>2025</v>
      </c>
      <c r="B1997" t="s">
        <v>8</v>
      </c>
      <c r="C1997">
        <v>2</v>
      </c>
      <c r="D1997">
        <v>3</v>
      </c>
      <c r="E1997">
        <v>441.6</v>
      </c>
      <c r="F1997">
        <v>4.67</v>
      </c>
      <c r="G1997">
        <v>100</v>
      </c>
    </row>
    <row r="1998" spans="1:7" ht="14" x14ac:dyDescent="0.3">
      <c r="A1998" t="s">
        <v>2026</v>
      </c>
      <c r="B1998" t="s">
        <v>8</v>
      </c>
      <c r="C1998">
        <v>3</v>
      </c>
      <c r="D1998">
        <v>3</v>
      </c>
      <c r="E1998">
        <v>440.41</v>
      </c>
      <c r="F1998">
        <v>4.33</v>
      </c>
      <c r="G1998">
        <v>100</v>
      </c>
    </row>
    <row r="1999" spans="1:7" ht="14" x14ac:dyDescent="0.3">
      <c r="A1999" t="s">
        <v>2027</v>
      </c>
      <c r="B1999" t="s">
        <v>8</v>
      </c>
      <c r="C1999">
        <v>5</v>
      </c>
      <c r="D1999">
        <v>5</v>
      </c>
      <c r="E1999">
        <v>439.95</v>
      </c>
      <c r="F1999">
        <v>4.8</v>
      </c>
      <c r="G1999">
        <v>100</v>
      </c>
    </row>
    <row r="2000" spans="1:7" ht="14" x14ac:dyDescent="0.3">
      <c r="A2000" t="s">
        <v>2028</v>
      </c>
      <c r="B2000" t="s">
        <v>8</v>
      </c>
      <c r="C2000">
        <v>4</v>
      </c>
      <c r="D2000">
        <v>4</v>
      </c>
      <c r="E2000">
        <v>439.53</v>
      </c>
      <c r="F2000">
        <v>4</v>
      </c>
      <c r="G2000">
        <v>100</v>
      </c>
    </row>
    <row r="2001" spans="1:7" ht="14" x14ac:dyDescent="0.3">
      <c r="A2001" t="s">
        <v>2029</v>
      </c>
      <c r="B2001" t="s">
        <v>8</v>
      </c>
      <c r="C2001">
        <v>4</v>
      </c>
      <c r="D2001">
        <v>7</v>
      </c>
      <c r="E2001">
        <v>438.99</v>
      </c>
      <c r="F2001">
        <v>4.71</v>
      </c>
      <c r="G2001">
        <v>85.7</v>
      </c>
    </row>
    <row r="2002" spans="1:7" ht="14" x14ac:dyDescent="0.3">
      <c r="A2002" t="s">
        <v>2030</v>
      </c>
      <c r="B2002" t="s">
        <v>101</v>
      </c>
      <c r="C2002">
        <v>2</v>
      </c>
      <c r="D2002">
        <v>4</v>
      </c>
      <c r="E2002">
        <v>438.88</v>
      </c>
      <c r="F2002">
        <v>4</v>
      </c>
      <c r="G2002">
        <v>100</v>
      </c>
    </row>
    <row r="2003" spans="1:7" ht="14" x14ac:dyDescent="0.3">
      <c r="A2003" t="s">
        <v>2031</v>
      </c>
      <c r="B2003" t="s">
        <v>8</v>
      </c>
      <c r="C2003">
        <v>2</v>
      </c>
      <c r="D2003">
        <v>4</v>
      </c>
      <c r="E2003">
        <v>438.38</v>
      </c>
      <c r="F2003">
        <v>4.5</v>
      </c>
      <c r="G2003">
        <v>100</v>
      </c>
    </row>
    <row r="2004" spans="1:7" ht="14" x14ac:dyDescent="0.3">
      <c r="A2004" t="s">
        <v>2032</v>
      </c>
      <c r="B2004" t="s">
        <v>22</v>
      </c>
      <c r="C2004">
        <v>6</v>
      </c>
      <c r="D2004">
        <v>6</v>
      </c>
      <c r="E2004">
        <v>436.99</v>
      </c>
      <c r="F2004">
        <v>3.67</v>
      </c>
      <c r="G2004">
        <v>100</v>
      </c>
    </row>
    <row r="2005" spans="1:7" ht="14" x14ac:dyDescent="0.3">
      <c r="A2005" t="s">
        <v>2033</v>
      </c>
      <c r="B2005" t="s">
        <v>42</v>
      </c>
      <c r="C2005">
        <v>7</v>
      </c>
      <c r="D2005">
        <v>10</v>
      </c>
      <c r="E2005">
        <v>436.85</v>
      </c>
      <c r="F2005">
        <v>3.9</v>
      </c>
      <c r="G2005">
        <v>100</v>
      </c>
    </row>
    <row r="2006" spans="1:7" ht="14" x14ac:dyDescent="0.3">
      <c r="A2006" t="s">
        <v>2034</v>
      </c>
      <c r="B2006" t="s">
        <v>8</v>
      </c>
      <c r="C2006">
        <v>2</v>
      </c>
      <c r="D2006">
        <v>2</v>
      </c>
      <c r="E2006">
        <v>436.67</v>
      </c>
      <c r="F2006">
        <v>3.5</v>
      </c>
      <c r="G2006">
        <v>100</v>
      </c>
    </row>
    <row r="2007" spans="1:7" ht="14" x14ac:dyDescent="0.3">
      <c r="A2007" t="s">
        <v>2035</v>
      </c>
      <c r="B2007" t="s">
        <v>309</v>
      </c>
      <c r="C2007">
        <v>5</v>
      </c>
      <c r="D2007">
        <v>5</v>
      </c>
      <c r="E2007">
        <v>436.65</v>
      </c>
      <c r="F2007">
        <v>4.4000000000000004</v>
      </c>
      <c r="G2007">
        <v>100</v>
      </c>
    </row>
    <row r="2008" spans="1:7" ht="14" x14ac:dyDescent="0.3">
      <c r="A2008" t="s">
        <v>2036</v>
      </c>
      <c r="B2008" t="s">
        <v>8</v>
      </c>
      <c r="C2008">
        <v>4</v>
      </c>
      <c r="D2008">
        <v>4</v>
      </c>
      <c r="E2008">
        <v>436.34</v>
      </c>
      <c r="F2008">
        <v>3.75</v>
      </c>
      <c r="G2008">
        <v>50</v>
      </c>
    </row>
    <row r="2009" spans="1:7" ht="14" x14ac:dyDescent="0.3">
      <c r="A2009" t="s">
        <v>2037</v>
      </c>
      <c r="B2009" t="s">
        <v>8</v>
      </c>
      <c r="C2009">
        <v>2</v>
      </c>
      <c r="D2009">
        <v>2</v>
      </c>
      <c r="E2009">
        <v>436.11</v>
      </c>
      <c r="F2009">
        <v>3</v>
      </c>
      <c r="G2009">
        <v>100</v>
      </c>
    </row>
    <row r="2010" spans="1:7" ht="14" x14ac:dyDescent="0.3">
      <c r="A2010" t="s">
        <v>2038</v>
      </c>
      <c r="B2010" t="s">
        <v>8</v>
      </c>
      <c r="C2010">
        <v>4</v>
      </c>
      <c r="D2010">
        <v>5</v>
      </c>
      <c r="E2010">
        <v>436.01</v>
      </c>
      <c r="F2010">
        <v>4.5999999999999996</v>
      </c>
      <c r="G2010">
        <v>100</v>
      </c>
    </row>
    <row r="2011" spans="1:7" ht="14" x14ac:dyDescent="0.3">
      <c r="A2011" t="s">
        <v>2039</v>
      </c>
      <c r="B2011" t="s">
        <v>8</v>
      </c>
      <c r="C2011">
        <v>6</v>
      </c>
      <c r="D2011">
        <v>8</v>
      </c>
      <c r="E2011">
        <v>435.96</v>
      </c>
      <c r="F2011">
        <v>3.63</v>
      </c>
      <c r="G2011">
        <v>100</v>
      </c>
    </row>
    <row r="2012" spans="1:7" ht="14" x14ac:dyDescent="0.3">
      <c r="A2012" t="s">
        <v>2040</v>
      </c>
      <c r="B2012" t="s">
        <v>8</v>
      </c>
      <c r="C2012">
        <v>4</v>
      </c>
      <c r="D2012">
        <v>4</v>
      </c>
      <c r="E2012">
        <v>435.57</v>
      </c>
      <c r="F2012">
        <v>4.75</v>
      </c>
      <c r="G2012">
        <v>100</v>
      </c>
    </row>
    <row r="2013" spans="1:7" ht="14" x14ac:dyDescent="0.3">
      <c r="A2013" t="s">
        <v>2041</v>
      </c>
      <c r="B2013" t="s">
        <v>8</v>
      </c>
      <c r="C2013">
        <v>10</v>
      </c>
      <c r="D2013">
        <v>10</v>
      </c>
      <c r="E2013">
        <v>434.28</v>
      </c>
      <c r="F2013">
        <v>3.5</v>
      </c>
      <c r="G2013">
        <v>90</v>
      </c>
    </row>
    <row r="2014" spans="1:7" ht="14" x14ac:dyDescent="0.3">
      <c r="A2014" t="s">
        <v>2042</v>
      </c>
      <c r="B2014" t="s">
        <v>42</v>
      </c>
      <c r="C2014">
        <v>2</v>
      </c>
      <c r="D2014">
        <v>2</v>
      </c>
      <c r="E2014">
        <v>433.72</v>
      </c>
      <c r="F2014">
        <v>2.5</v>
      </c>
      <c r="G2014">
        <v>50</v>
      </c>
    </row>
    <row r="2015" spans="1:7" ht="14" x14ac:dyDescent="0.3">
      <c r="A2015" t="s">
        <v>2043</v>
      </c>
      <c r="B2015" t="s">
        <v>8</v>
      </c>
      <c r="C2015">
        <v>5</v>
      </c>
      <c r="D2015">
        <v>7</v>
      </c>
      <c r="E2015">
        <v>432.07</v>
      </c>
      <c r="F2015">
        <v>2.86</v>
      </c>
      <c r="G2015">
        <v>85.7</v>
      </c>
    </row>
    <row r="2016" spans="1:7" ht="14" x14ac:dyDescent="0.3">
      <c r="A2016" t="s">
        <v>2044</v>
      </c>
      <c r="B2016" t="s">
        <v>8</v>
      </c>
      <c r="C2016">
        <v>3</v>
      </c>
      <c r="D2016">
        <v>3</v>
      </c>
      <c r="E2016">
        <v>430.71</v>
      </c>
      <c r="F2016">
        <v>4.33</v>
      </c>
      <c r="G2016">
        <v>100</v>
      </c>
    </row>
    <row r="2017" spans="1:7" ht="14" x14ac:dyDescent="0.3">
      <c r="A2017" t="s">
        <v>2045</v>
      </c>
      <c r="B2017" t="s">
        <v>8</v>
      </c>
      <c r="C2017">
        <v>2</v>
      </c>
      <c r="D2017">
        <v>2</v>
      </c>
      <c r="E2017">
        <v>430.08</v>
      </c>
      <c r="F2017">
        <v>4.5</v>
      </c>
      <c r="G2017">
        <v>100</v>
      </c>
    </row>
    <row r="2018" spans="1:7" ht="14" x14ac:dyDescent="0.3">
      <c r="A2018" t="s">
        <v>2046</v>
      </c>
      <c r="B2018" t="s">
        <v>22</v>
      </c>
      <c r="C2018">
        <v>5</v>
      </c>
      <c r="D2018">
        <v>5</v>
      </c>
      <c r="E2018">
        <v>428.5</v>
      </c>
      <c r="F2018">
        <v>4.4000000000000004</v>
      </c>
      <c r="G2018">
        <v>100</v>
      </c>
    </row>
    <row r="2019" spans="1:7" ht="14" x14ac:dyDescent="0.3">
      <c r="A2019" t="s">
        <v>2047</v>
      </c>
      <c r="B2019" t="s">
        <v>101</v>
      </c>
      <c r="C2019">
        <v>5</v>
      </c>
      <c r="D2019">
        <v>5</v>
      </c>
      <c r="E2019">
        <v>427.13</v>
      </c>
      <c r="F2019">
        <v>4.5999999999999996</v>
      </c>
      <c r="G2019">
        <v>100</v>
      </c>
    </row>
    <row r="2020" spans="1:7" ht="14" x14ac:dyDescent="0.3">
      <c r="A2020" t="s">
        <v>2048</v>
      </c>
      <c r="B2020" t="s">
        <v>8</v>
      </c>
      <c r="C2020">
        <v>6</v>
      </c>
      <c r="D2020">
        <v>6</v>
      </c>
      <c r="E2020">
        <v>427.05</v>
      </c>
      <c r="F2020">
        <v>4.33</v>
      </c>
      <c r="G2020">
        <v>100</v>
      </c>
    </row>
    <row r="2021" spans="1:7" ht="14" x14ac:dyDescent="0.3">
      <c r="A2021" t="s">
        <v>2049</v>
      </c>
      <c r="B2021" t="s">
        <v>8</v>
      </c>
      <c r="C2021">
        <v>6</v>
      </c>
      <c r="D2021">
        <v>6</v>
      </c>
      <c r="E2021">
        <v>426.76</v>
      </c>
      <c r="F2021">
        <v>5</v>
      </c>
      <c r="G2021">
        <v>100</v>
      </c>
    </row>
    <row r="2022" spans="1:7" ht="14" x14ac:dyDescent="0.3">
      <c r="A2022" t="s">
        <v>2050</v>
      </c>
      <c r="B2022" t="s">
        <v>38</v>
      </c>
      <c r="C2022">
        <v>6</v>
      </c>
      <c r="D2022">
        <v>7</v>
      </c>
      <c r="E2022">
        <v>426.33</v>
      </c>
      <c r="F2022">
        <v>3.86</v>
      </c>
      <c r="G2022">
        <v>100</v>
      </c>
    </row>
    <row r="2023" spans="1:7" ht="14" x14ac:dyDescent="0.3">
      <c r="A2023" t="s">
        <v>2051</v>
      </c>
      <c r="B2023" t="s">
        <v>8</v>
      </c>
      <c r="C2023">
        <v>5</v>
      </c>
      <c r="D2023">
        <v>5</v>
      </c>
      <c r="E2023">
        <v>425.15</v>
      </c>
      <c r="F2023">
        <v>4</v>
      </c>
      <c r="G2023">
        <v>40</v>
      </c>
    </row>
    <row r="2024" spans="1:7" ht="14" x14ac:dyDescent="0.3">
      <c r="A2024" t="s">
        <v>2052</v>
      </c>
      <c r="B2024" t="s">
        <v>8</v>
      </c>
      <c r="C2024">
        <v>10</v>
      </c>
      <c r="D2024">
        <v>11</v>
      </c>
      <c r="E2024">
        <v>422.31</v>
      </c>
      <c r="F2024">
        <v>4.91</v>
      </c>
      <c r="G2024">
        <v>100</v>
      </c>
    </row>
    <row r="2025" spans="1:7" ht="14" x14ac:dyDescent="0.3">
      <c r="A2025" t="s">
        <v>2053</v>
      </c>
      <c r="B2025" t="s">
        <v>8</v>
      </c>
      <c r="C2025">
        <v>10</v>
      </c>
      <c r="D2025">
        <v>10</v>
      </c>
      <c r="E2025">
        <v>421.27</v>
      </c>
      <c r="F2025">
        <v>4.8</v>
      </c>
      <c r="G2025">
        <v>90</v>
      </c>
    </row>
    <row r="2026" spans="1:7" ht="14" x14ac:dyDescent="0.3">
      <c r="A2026" t="s">
        <v>2054</v>
      </c>
      <c r="B2026" t="s">
        <v>87</v>
      </c>
      <c r="C2026">
        <v>6</v>
      </c>
      <c r="D2026">
        <v>6</v>
      </c>
      <c r="E2026">
        <v>421.16</v>
      </c>
      <c r="F2026">
        <v>4.5</v>
      </c>
      <c r="G2026">
        <v>100</v>
      </c>
    </row>
    <row r="2027" spans="1:7" ht="14" x14ac:dyDescent="0.3">
      <c r="A2027" t="s">
        <v>2055</v>
      </c>
      <c r="B2027" t="s">
        <v>8</v>
      </c>
      <c r="C2027">
        <v>1</v>
      </c>
      <c r="D2027">
        <v>1</v>
      </c>
      <c r="E2027">
        <v>420.29</v>
      </c>
      <c r="F2027">
        <v>5</v>
      </c>
      <c r="G2027">
        <v>100</v>
      </c>
    </row>
    <row r="2028" spans="1:7" ht="14" x14ac:dyDescent="0.3">
      <c r="A2028" t="s">
        <v>2056</v>
      </c>
      <c r="B2028" t="s">
        <v>32</v>
      </c>
      <c r="C2028">
        <v>4</v>
      </c>
      <c r="D2028">
        <v>4</v>
      </c>
      <c r="E2028">
        <v>419.67</v>
      </c>
      <c r="F2028">
        <v>4.25</v>
      </c>
      <c r="G2028">
        <v>100</v>
      </c>
    </row>
    <row r="2029" spans="1:7" ht="14" x14ac:dyDescent="0.3">
      <c r="A2029" t="s">
        <v>2057</v>
      </c>
      <c r="B2029" t="s">
        <v>32</v>
      </c>
      <c r="C2029">
        <v>7</v>
      </c>
      <c r="D2029">
        <v>8</v>
      </c>
      <c r="E2029">
        <v>419.35</v>
      </c>
      <c r="F2029">
        <v>4.63</v>
      </c>
      <c r="G2029">
        <v>100</v>
      </c>
    </row>
    <row r="2030" spans="1:7" ht="14" x14ac:dyDescent="0.3">
      <c r="A2030" t="s">
        <v>2058</v>
      </c>
      <c r="B2030" t="s">
        <v>24</v>
      </c>
      <c r="C2030">
        <v>6</v>
      </c>
      <c r="D2030">
        <v>6</v>
      </c>
      <c r="E2030">
        <v>419.07</v>
      </c>
      <c r="F2030">
        <v>3.5</v>
      </c>
      <c r="G2030">
        <v>100</v>
      </c>
    </row>
    <row r="2031" spans="1:7" ht="14" x14ac:dyDescent="0.3">
      <c r="A2031" t="s">
        <v>2059</v>
      </c>
      <c r="B2031" t="s">
        <v>309</v>
      </c>
      <c r="C2031">
        <v>3</v>
      </c>
      <c r="D2031">
        <v>9</v>
      </c>
      <c r="E2031">
        <v>417.92</v>
      </c>
      <c r="F2031">
        <v>3.22</v>
      </c>
      <c r="G2031">
        <v>100</v>
      </c>
    </row>
    <row r="2032" spans="1:7" ht="14" x14ac:dyDescent="0.3">
      <c r="A2032" t="s">
        <v>2060</v>
      </c>
      <c r="B2032" t="s">
        <v>24</v>
      </c>
      <c r="C2032">
        <v>3</v>
      </c>
      <c r="D2032">
        <v>3</v>
      </c>
      <c r="E2032">
        <v>417.42</v>
      </c>
      <c r="F2032">
        <v>4.33</v>
      </c>
      <c r="G2032">
        <v>100</v>
      </c>
    </row>
    <row r="2033" spans="1:7" ht="14" x14ac:dyDescent="0.3">
      <c r="A2033" t="s">
        <v>2061</v>
      </c>
      <c r="B2033" t="s">
        <v>101</v>
      </c>
      <c r="C2033">
        <v>5</v>
      </c>
      <c r="D2033">
        <v>6</v>
      </c>
      <c r="E2033">
        <v>413.26</v>
      </c>
      <c r="F2033">
        <v>4.33</v>
      </c>
      <c r="G2033">
        <v>100</v>
      </c>
    </row>
    <row r="2034" spans="1:7" ht="14" x14ac:dyDescent="0.3">
      <c r="A2034" t="s">
        <v>2062</v>
      </c>
      <c r="B2034" t="s">
        <v>8</v>
      </c>
      <c r="C2034">
        <v>5</v>
      </c>
      <c r="D2034">
        <v>5</v>
      </c>
      <c r="E2034">
        <v>412.93</v>
      </c>
      <c r="F2034">
        <v>4.8</v>
      </c>
      <c r="G2034">
        <v>100</v>
      </c>
    </row>
    <row r="2035" spans="1:7" ht="14" x14ac:dyDescent="0.3">
      <c r="A2035" t="s">
        <v>2063</v>
      </c>
      <c r="B2035" t="s">
        <v>8</v>
      </c>
      <c r="C2035">
        <v>3</v>
      </c>
      <c r="D2035">
        <v>4</v>
      </c>
      <c r="E2035">
        <v>412.41</v>
      </c>
      <c r="F2035">
        <v>5</v>
      </c>
      <c r="G2035">
        <v>100</v>
      </c>
    </row>
    <row r="2036" spans="1:7" ht="14" x14ac:dyDescent="0.3">
      <c r="A2036" t="s">
        <v>2064</v>
      </c>
      <c r="B2036" t="s">
        <v>8</v>
      </c>
      <c r="C2036">
        <v>1</v>
      </c>
      <c r="D2036">
        <v>1</v>
      </c>
      <c r="E2036">
        <v>412.21</v>
      </c>
      <c r="F2036">
        <v>5</v>
      </c>
      <c r="G2036">
        <v>100</v>
      </c>
    </row>
    <row r="2037" spans="1:7" ht="14" x14ac:dyDescent="0.3">
      <c r="A2037" t="s">
        <v>2065</v>
      </c>
      <c r="B2037" t="s">
        <v>241</v>
      </c>
      <c r="C2037">
        <v>1</v>
      </c>
      <c r="D2037">
        <v>1</v>
      </c>
      <c r="E2037">
        <v>412.12</v>
      </c>
      <c r="F2037">
        <v>5</v>
      </c>
      <c r="G2037">
        <v>100</v>
      </c>
    </row>
    <row r="2038" spans="1:7" ht="14" x14ac:dyDescent="0.3">
      <c r="A2038" t="s">
        <v>2066</v>
      </c>
      <c r="B2038" t="s">
        <v>101</v>
      </c>
      <c r="C2038">
        <v>1</v>
      </c>
      <c r="D2038">
        <v>1</v>
      </c>
      <c r="E2038">
        <v>410.91</v>
      </c>
      <c r="F2038">
        <v>5</v>
      </c>
      <c r="G2038">
        <v>100</v>
      </c>
    </row>
    <row r="2039" spans="1:7" ht="14" x14ac:dyDescent="0.3">
      <c r="A2039" t="s">
        <v>2067</v>
      </c>
      <c r="B2039" t="s">
        <v>42</v>
      </c>
      <c r="C2039">
        <v>2</v>
      </c>
      <c r="D2039">
        <v>2</v>
      </c>
      <c r="E2039">
        <v>410.75</v>
      </c>
      <c r="F2039">
        <v>4</v>
      </c>
      <c r="G2039">
        <v>100</v>
      </c>
    </row>
    <row r="2040" spans="1:7" ht="14" x14ac:dyDescent="0.3">
      <c r="A2040" t="s">
        <v>2068</v>
      </c>
      <c r="B2040" t="s">
        <v>42</v>
      </c>
      <c r="C2040">
        <v>2</v>
      </c>
      <c r="D2040">
        <v>2</v>
      </c>
      <c r="E2040">
        <v>410.42</v>
      </c>
      <c r="F2040">
        <v>2.5</v>
      </c>
      <c r="G2040">
        <v>100</v>
      </c>
    </row>
    <row r="2041" spans="1:7" ht="14" x14ac:dyDescent="0.3">
      <c r="A2041" t="s">
        <v>2069</v>
      </c>
      <c r="B2041" t="s">
        <v>22</v>
      </c>
      <c r="C2041">
        <v>8</v>
      </c>
      <c r="D2041">
        <v>8</v>
      </c>
      <c r="E2041">
        <v>408.5</v>
      </c>
      <c r="F2041">
        <v>4.5</v>
      </c>
      <c r="G2041">
        <v>75</v>
      </c>
    </row>
    <row r="2042" spans="1:7" ht="14" x14ac:dyDescent="0.3">
      <c r="A2042" t="s">
        <v>2070</v>
      </c>
      <c r="B2042" t="s">
        <v>8</v>
      </c>
      <c r="C2042">
        <v>7</v>
      </c>
      <c r="D2042">
        <v>13</v>
      </c>
      <c r="E2042">
        <v>407.7</v>
      </c>
      <c r="F2042">
        <v>3.77</v>
      </c>
      <c r="G2042">
        <v>100</v>
      </c>
    </row>
    <row r="2043" spans="1:7" ht="14" x14ac:dyDescent="0.3">
      <c r="A2043" t="s">
        <v>2071</v>
      </c>
      <c r="B2043" t="s">
        <v>8</v>
      </c>
      <c r="C2043">
        <v>4</v>
      </c>
      <c r="D2043">
        <v>4</v>
      </c>
      <c r="E2043">
        <v>406.41</v>
      </c>
      <c r="F2043">
        <v>4</v>
      </c>
      <c r="G2043">
        <v>100</v>
      </c>
    </row>
    <row r="2044" spans="1:7" ht="14" x14ac:dyDescent="0.3">
      <c r="A2044" t="s">
        <v>2072</v>
      </c>
      <c r="B2044" t="s">
        <v>8</v>
      </c>
      <c r="C2044">
        <v>3</v>
      </c>
      <c r="D2044">
        <v>3</v>
      </c>
      <c r="E2044">
        <v>406.39</v>
      </c>
      <c r="F2044">
        <v>4.33</v>
      </c>
      <c r="G2044">
        <v>66.7</v>
      </c>
    </row>
    <row r="2045" spans="1:7" ht="14" x14ac:dyDescent="0.3">
      <c r="A2045" t="s">
        <v>2073</v>
      </c>
      <c r="B2045" t="s">
        <v>101</v>
      </c>
      <c r="C2045">
        <v>5</v>
      </c>
      <c r="D2045">
        <v>6</v>
      </c>
      <c r="E2045">
        <v>405.27</v>
      </c>
      <c r="F2045">
        <v>3.83</v>
      </c>
      <c r="G2045">
        <v>100</v>
      </c>
    </row>
    <row r="2046" spans="1:7" ht="14" x14ac:dyDescent="0.3">
      <c r="A2046" t="s">
        <v>2074</v>
      </c>
      <c r="B2046" t="s">
        <v>42</v>
      </c>
      <c r="C2046">
        <v>6</v>
      </c>
      <c r="D2046">
        <v>6</v>
      </c>
      <c r="E2046">
        <v>404.93</v>
      </c>
      <c r="F2046">
        <v>4.33</v>
      </c>
      <c r="G2046">
        <v>100</v>
      </c>
    </row>
    <row r="2047" spans="1:7" ht="14" x14ac:dyDescent="0.3">
      <c r="A2047" t="s">
        <v>2075</v>
      </c>
      <c r="B2047" t="s">
        <v>8</v>
      </c>
      <c r="C2047">
        <v>3</v>
      </c>
      <c r="D2047">
        <v>3</v>
      </c>
      <c r="E2047">
        <v>403.57</v>
      </c>
      <c r="F2047">
        <v>4.67</v>
      </c>
      <c r="G2047">
        <v>100</v>
      </c>
    </row>
    <row r="2048" spans="1:7" ht="14" x14ac:dyDescent="0.3">
      <c r="A2048" t="s">
        <v>2076</v>
      </c>
      <c r="B2048" t="s">
        <v>8</v>
      </c>
      <c r="C2048">
        <v>4</v>
      </c>
      <c r="D2048">
        <v>4</v>
      </c>
      <c r="E2048">
        <v>403.22</v>
      </c>
      <c r="F2048">
        <v>4.75</v>
      </c>
      <c r="G2048">
        <v>100</v>
      </c>
    </row>
    <row r="2049" spans="1:7" ht="14" x14ac:dyDescent="0.3">
      <c r="A2049" t="s">
        <v>2077</v>
      </c>
      <c r="B2049" t="s">
        <v>8</v>
      </c>
      <c r="C2049">
        <v>2</v>
      </c>
      <c r="D2049">
        <v>2</v>
      </c>
      <c r="E2049">
        <v>402.43</v>
      </c>
      <c r="F2049">
        <v>5</v>
      </c>
      <c r="G2049">
        <v>100</v>
      </c>
    </row>
    <row r="2050" spans="1:7" ht="14" x14ac:dyDescent="0.3">
      <c r="A2050" t="s">
        <v>2078</v>
      </c>
      <c r="B2050" t="s">
        <v>8</v>
      </c>
      <c r="C2050">
        <v>5</v>
      </c>
      <c r="D2050">
        <v>6</v>
      </c>
      <c r="E2050">
        <v>401.24</v>
      </c>
      <c r="F2050">
        <v>4.17</v>
      </c>
      <c r="G2050">
        <v>100</v>
      </c>
    </row>
    <row r="2051" spans="1:7" ht="14" x14ac:dyDescent="0.3">
      <c r="A2051" t="s">
        <v>2079</v>
      </c>
      <c r="B2051" t="s">
        <v>8</v>
      </c>
      <c r="C2051">
        <v>3</v>
      </c>
      <c r="D2051">
        <v>5</v>
      </c>
      <c r="E2051">
        <v>400.87</v>
      </c>
      <c r="F2051">
        <v>4.2</v>
      </c>
      <c r="G2051">
        <v>100</v>
      </c>
    </row>
    <row r="2052" spans="1:7" ht="14" x14ac:dyDescent="0.3">
      <c r="A2052" t="s">
        <v>2080</v>
      </c>
      <c r="B2052" t="s">
        <v>32</v>
      </c>
      <c r="C2052">
        <v>2</v>
      </c>
      <c r="D2052">
        <v>3</v>
      </c>
      <c r="E2052">
        <v>400.76</v>
      </c>
      <c r="F2052">
        <v>4</v>
      </c>
      <c r="G2052">
        <v>100</v>
      </c>
    </row>
    <row r="2053" spans="1:7" ht="14" x14ac:dyDescent="0.3">
      <c r="A2053" t="s">
        <v>2081</v>
      </c>
      <c r="B2053" t="s">
        <v>8</v>
      </c>
      <c r="C2053">
        <v>3</v>
      </c>
      <c r="D2053">
        <v>4</v>
      </c>
      <c r="E2053">
        <v>399.25</v>
      </c>
      <c r="F2053">
        <v>4.25</v>
      </c>
      <c r="G2053">
        <v>100</v>
      </c>
    </row>
    <row r="2054" spans="1:7" ht="14" x14ac:dyDescent="0.3">
      <c r="A2054" t="s">
        <v>2082</v>
      </c>
      <c r="B2054" t="s">
        <v>8</v>
      </c>
      <c r="C2054">
        <v>5</v>
      </c>
      <c r="D2054">
        <v>5</v>
      </c>
      <c r="E2054">
        <v>397.94</v>
      </c>
      <c r="F2054">
        <v>4.8</v>
      </c>
      <c r="G2054">
        <v>100</v>
      </c>
    </row>
    <row r="2055" spans="1:7" ht="14" x14ac:dyDescent="0.3">
      <c r="A2055" t="s">
        <v>2083</v>
      </c>
      <c r="B2055" t="s">
        <v>8</v>
      </c>
      <c r="C2055">
        <v>2</v>
      </c>
      <c r="D2055">
        <v>2</v>
      </c>
      <c r="E2055">
        <v>397.61</v>
      </c>
      <c r="F2055">
        <v>5</v>
      </c>
      <c r="G2055">
        <v>100</v>
      </c>
    </row>
    <row r="2056" spans="1:7" ht="14" x14ac:dyDescent="0.3">
      <c r="A2056" t="s">
        <v>2084</v>
      </c>
      <c r="B2056" t="s">
        <v>22</v>
      </c>
      <c r="C2056">
        <v>5</v>
      </c>
      <c r="D2056">
        <v>5</v>
      </c>
      <c r="E2056">
        <v>397</v>
      </c>
      <c r="F2056">
        <v>5</v>
      </c>
      <c r="G2056">
        <v>100</v>
      </c>
    </row>
    <row r="2057" spans="1:7" ht="14" x14ac:dyDescent="0.3">
      <c r="A2057" t="s">
        <v>2085</v>
      </c>
      <c r="B2057" t="s">
        <v>24</v>
      </c>
      <c r="C2057">
        <v>5</v>
      </c>
      <c r="D2057">
        <v>8</v>
      </c>
      <c r="E2057">
        <v>396.14</v>
      </c>
      <c r="F2057">
        <v>2.88</v>
      </c>
      <c r="G2057">
        <v>87.5</v>
      </c>
    </row>
    <row r="2058" spans="1:7" ht="14" x14ac:dyDescent="0.3">
      <c r="A2058" t="s">
        <v>2086</v>
      </c>
      <c r="B2058" t="s">
        <v>24</v>
      </c>
      <c r="C2058">
        <v>6</v>
      </c>
      <c r="D2058">
        <v>7</v>
      </c>
      <c r="E2058">
        <v>394.72</v>
      </c>
      <c r="F2058">
        <v>4.8600000000000003</v>
      </c>
      <c r="G2058">
        <v>71.400000000000006</v>
      </c>
    </row>
    <row r="2059" spans="1:7" ht="14" x14ac:dyDescent="0.3">
      <c r="A2059" t="s">
        <v>2087</v>
      </c>
      <c r="B2059" t="s">
        <v>32</v>
      </c>
      <c r="C2059">
        <v>5</v>
      </c>
      <c r="D2059">
        <v>5</v>
      </c>
      <c r="E2059">
        <v>394.46</v>
      </c>
      <c r="F2059">
        <v>4.4000000000000004</v>
      </c>
      <c r="G2059">
        <v>100</v>
      </c>
    </row>
    <row r="2060" spans="1:7" ht="14" x14ac:dyDescent="0.3">
      <c r="A2060" t="s">
        <v>2088</v>
      </c>
      <c r="B2060" t="s">
        <v>87</v>
      </c>
      <c r="C2060">
        <v>2</v>
      </c>
      <c r="D2060">
        <v>3</v>
      </c>
      <c r="E2060">
        <v>394.22</v>
      </c>
      <c r="F2060">
        <v>4.67</v>
      </c>
      <c r="G2060">
        <v>100</v>
      </c>
    </row>
    <row r="2061" spans="1:7" ht="14" x14ac:dyDescent="0.3">
      <c r="A2061" t="s">
        <v>2089</v>
      </c>
      <c r="B2061" t="s">
        <v>32</v>
      </c>
      <c r="C2061">
        <v>8</v>
      </c>
      <c r="D2061">
        <v>9</v>
      </c>
      <c r="E2061">
        <v>393.98</v>
      </c>
      <c r="F2061">
        <v>4.78</v>
      </c>
      <c r="G2061">
        <v>100</v>
      </c>
    </row>
    <row r="2062" spans="1:7" ht="14" x14ac:dyDescent="0.3">
      <c r="A2062" t="s">
        <v>2090</v>
      </c>
      <c r="B2062" t="s">
        <v>8</v>
      </c>
      <c r="C2062">
        <v>5</v>
      </c>
      <c r="D2062">
        <v>6</v>
      </c>
      <c r="E2062">
        <v>389.28</v>
      </c>
      <c r="F2062">
        <v>3.83</v>
      </c>
      <c r="G2062">
        <v>100</v>
      </c>
    </row>
    <row r="2063" spans="1:7" ht="14" x14ac:dyDescent="0.3">
      <c r="A2063" t="s">
        <v>2091</v>
      </c>
      <c r="B2063" t="s">
        <v>8</v>
      </c>
      <c r="C2063">
        <v>4</v>
      </c>
      <c r="D2063">
        <v>4</v>
      </c>
      <c r="E2063">
        <v>389.22</v>
      </c>
      <c r="F2063">
        <v>5</v>
      </c>
      <c r="G2063">
        <v>100</v>
      </c>
    </row>
    <row r="2064" spans="1:7" ht="14" x14ac:dyDescent="0.3">
      <c r="A2064" t="s">
        <v>2092</v>
      </c>
      <c r="B2064" t="s">
        <v>8</v>
      </c>
      <c r="C2064">
        <v>3</v>
      </c>
      <c r="D2064">
        <v>3</v>
      </c>
      <c r="E2064">
        <v>389.18</v>
      </c>
      <c r="F2064">
        <v>3.67</v>
      </c>
      <c r="G2064">
        <v>33.299999999999997</v>
      </c>
    </row>
    <row r="2065" spans="1:7" ht="14" x14ac:dyDescent="0.3">
      <c r="A2065" t="s">
        <v>2093</v>
      </c>
      <c r="B2065" t="s">
        <v>8</v>
      </c>
      <c r="C2065">
        <v>6</v>
      </c>
      <c r="D2065">
        <v>6</v>
      </c>
      <c r="E2065">
        <v>388.49</v>
      </c>
      <c r="F2065">
        <v>4</v>
      </c>
      <c r="G2065">
        <v>100</v>
      </c>
    </row>
    <row r="2066" spans="1:7" ht="14" x14ac:dyDescent="0.3">
      <c r="A2066" t="s">
        <v>2094</v>
      </c>
      <c r="B2066" t="s">
        <v>8</v>
      </c>
      <c r="C2066">
        <v>2</v>
      </c>
      <c r="D2066">
        <v>2</v>
      </c>
      <c r="E2066">
        <v>388.43</v>
      </c>
      <c r="F2066">
        <v>4.5</v>
      </c>
      <c r="G2066">
        <v>100</v>
      </c>
    </row>
    <row r="2067" spans="1:7" ht="14" x14ac:dyDescent="0.3">
      <c r="A2067" t="s">
        <v>2095</v>
      </c>
      <c r="B2067" t="s">
        <v>8</v>
      </c>
      <c r="C2067">
        <v>5</v>
      </c>
      <c r="D2067">
        <v>5</v>
      </c>
      <c r="E2067">
        <v>387.68</v>
      </c>
      <c r="F2067">
        <v>4.2</v>
      </c>
      <c r="G2067">
        <v>100</v>
      </c>
    </row>
    <row r="2068" spans="1:7" ht="14" x14ac:dyDescent="0.3">
      <c r="A2068" t="s">
        <v>2096</v>
      </c>
      <c r="B2068" t="s">
        <v>22</v>
      </c>
      <c r="C2068">
        <v>3</v>
      </c>
      <c r="D2068">
        <v>3</v>
      </c>
      <c r="E2068">
        <v>386.99</v>
      </c>
      <c r="F2068">
        <v>3.67</v>
      </c>
      <c r="G2068">
        <v>100</v>
      </c>
    </row>
    <row r="2069" spans="1:7" ht="14" x14ac:dyDescent="0.3">
      <c r="A2069" t="s">
        <v>2097</v>
      </c>
      <c r="B2069" t="s">
        <v>24</v>
      </c>
      <c r="C2069">
        <v>1</v>
      </c>
      <c r="D2069">
        <v>2</v>
      </c>
      <c r="E2069">
        <v>385.42</v>
      </c>
      <c r="F2069">
        <v>5</v>
      </c>
      <c r="G2069">
        <v>100</v>
      </c>
    </row>
    <row r="2070" spans="1:7" ht="14" x14ac:dyDescent="0.3">
      <c r="A2070" t="s">
        <v>2098</v>
      </c>
      <c r="B2070" t="s">
        <v>8</v>
      </c>
      <c r="C2070">
        <v>3</v>
      </c>
      <c r="D2070">
        <v>3</v>
      </c>
      <c r="E2070">
        <v>384.49</v>
      </c>
      <c r="F2070">
        <v>4</v>
      </c>
      <c r="G2070">
        <v>66.7</v>
      </c>
    </row>
    <row r="2071" spans="1:7" ht="14" x14ac:dyDescent="0.3">
      <c r="A2071" t="s">
        <v>2099</v>
      </c>
      <c r="B2071" t="s">
        <v>8</v>
      </c>
      <c r="C2071">
        <v>3</v>
      </c>
      <c r="D2071">
        <v>9</v>
      </c>
      <c r="E2071">
        <v>384.12</v>
      </c>
      <c r="F2071">
        <v>4.1100000000000003</v>
      </c>
      <c r="G2071">
        <v>100</v>
      </c>
    </row>
    <row r="2072" spans="1:7" ht="14" x14ac:dyDescent="0.3">
      <c r="A2072" t="s">
        <v>2100</v>
      </c>
      <c r="B2072" t="s">
        <v>8</v>
      </c>
      <c r="C2072">
        <v>7</v>
      </c>
      <c r="D2072">
        <v>9</v>
      </c>
      <c r="E2072">
        <v>383.66</v>
      </c>
      <c r="F2072">
        <v>3.67</v>
      </c>
      <c r="G2072">
        <v>100</v>
      </c>
    </row>
    <row r="2073" spans="1:7" ht="14" x14ac:dyDescent="0.3">
      <c r="A2073" t="s">
        <v>2101</v>
      </c>
      <c r="B2073" t="s">
        <v>32</v>
      </c>
      <c r="C2073">
        <v>3</v>
      </c>
      <c r="D2073">
        <v>7</v>
      </c>
      <c r="E2073">
        <v>383.44</v>
      </c>
      <c r="F2073">
        <v>4.8600000000000003</v>
      </c>
      <c r="G2073">
        <v>100</v>
      </c>
    </row>
    <row r="2074" spans="1:7" ht="14" x14ac:dyDescent="0.3">
      <c r="A2074" t="s">
        <v>2102</v>
      </c>
      <c r="B2074" t="s">
        <v>8</v>
      </c>
      <c r="C2074">
        <v>4</v>
      </c>
      <c r="D2074">
        <v>4</v>
      </c>
      <c r="E2074">
        <v>383.21</v>
      </c>
      <c r="F2074">
        <v>4</v>
      </c>
      <c r="G2074">
        <v>100</v>
      </c>
    </row>
    <row r="2075" spans="1:7" ht="14" x14ac:dyDescent="0.3">
      <c r="A2075" t="s">
        <v>2103</v>
      </c>
      <c r="B2075" t="s">
        <v>152</v>
      </c>
      <c r="C2075">
        <v>2</v>
      </c>
      <c r="D2075">
        <v>2</v>
      </c>
      <c r="E2075">
        <v>382.47</v>
      </c>
      <c r="F2075">
        <v>5</v>
      </c>
      <c r="G2075">
        <v>100</v>
      </c>
    </row>
    <row r="2076" spans="1:7" ht="14" x14ac:dyDescent="0.3">
      <c r="A2076" t="s">
        <v>2104</v>
      </c>
      <c r="B2076" t="s">
        <v>42</v>
      </c>
      <c r="C2076">
        <v>3</v>
      </c>
      <c r="D2076">
        <v>4</v>
      </c>
      <c r="E2076">
        <v>382.3</v>
      </c>
      <c r="F2076">
        <v>4.75</v>
      </c>
      <c r="G2076">
        <v>100</v>
      </c>
    </row>
    <row r="2077" spans="1:7" ht="14" x14ac:dyDescent="0.3">
      <c r="A2077" t="s">
        <v>2105</v>
      </c>
      <c r="B2077" t="s">
        <v>8</v>
      </c>
      <c r="C2077">
        <v>1</v>
      </c>
      <c r="D2077">
        <v>2</v>
      </c>
      <c r="E2077">
        <v>381.48</v>
      </c>
      <c r="F2077">
        <v>5</v>
      </c>
      <c r="G2077">
        <v>100</v>
      </c>
    </row>
    <row r="2078" spans="1:7" ht="14" x14ac:dyDescent="0.3">
      <c r="A2078" t="s">
        <v>2106</v>
      </c>
      <c r="B2078" t="s">
        <v>32</v>
      </c>
      <c r="C2078">
        <v>2</v>
      </c>
      <c r="D2078">
        <v>2</v>
      </c>
      <c r="E2078">
        <v>380.17</v>
      </c>
      <c r="F2078">
        <v>4</v>
      </c>
      <c r="G2078">
        <v>100</v>
      </c>
    </row>
    <row r="2079" spans="1:7" ht="14" x14ac:dyDescent="0.3">
      <c r="A2079" t="s">
        <v>2107</v>
      </c>
      <c r="B2079" t="s">
        <v>22</v>
      </c>
      <c r="C2079">
        <v>4</v>
      </c>
      <c r="D2079">
        <v>5</v>
      </c>
      <c r="E2079">
        <v>379.48</v>
      </c>
      <c r="F2079">
        <v>3.2</v>
      </c>
      <c r="G2079">
        <v>100</v>
      </c>
    </row>
    <row r="2080" spans="1:7" ht="14" x14ac:dyDescent="0.3">
      <c r="A2080" t="s">
        <v>2108</v>
      </c>
      <c r="B2080" t="s">
        <v>87</v>
      </c>
      <c r="C2080">
        <v>4</v>
      </c>
      <c r="D2080">
        <v>5</v>
      </c>
      <c r="E2080">
        <v>379.38</v>
      </c>
      <c r="F2080">
        <v>4.8</v>
      </c>
      <c r="G2080">
        <v>100</v>
      </c>
    </row>
    <row r="2081" spans="1:7" ht="14" x14ac:dyDescent="0.3">
      <c r="A2081" t="s">
        <v>2109</v>
      </c>
      <c r="B2081" t="s">
        <v>32</v>
      </c>
      <c r="C2081">
        <v>3</v>
      </c>
      <c r="D2081">
        <v>3</v>
      </c>
      <c r="E2081">
        <v>378.76</v>
      </c>
      <c r="F2081">
        <v>4.33</v>
      </c>
      <c r="G2081">
        <v>100</v>
      </c>
    </row>
    <row r="2082" spans="1:7" ht="14" x14ac:dyDescent="0.3">
      <c r="A2082" t="s">
        <v>2110</v>
      </c>
      <c r="B2082" t="s">
        <v>22</v>
      </c>
      <c r="C2082">
        <v>3</v>
      </c>
      <c r="D2082">
        <v>3</v>
      </c>
      <c r="E2082">
        <v>377.39</v>
      </c>
      <c r="F2082">
        <v>3.67</v>
      </c>
      <c r="G2082">
        <v>100</v>
      </c>
    </row>
    <row r="2083" spans="1:7" ht="14" x14ac:dyDescent="0.3">
      <c r="A2083" t="s">
        <v>2111</v>
      </c>
      <c r="B2083" t="s">
        <v>8</v>
      </c>
      <c r="C2083">
        <v>4</v>
      </c>
      <c r="D2083">
        <v>4</v>
      </c>
      <c r="E2083">
        <v>376.82</v>
      </c>
      <c r="F2083">
        <v>4.5</v>
      </c>
      <c r="G2083">
        <v>100</v>
      </c>
    </row>
    <row r="2084" spans="1:7" ht="14" x14ac:dyDescent="0.3">
      <c r="A2084" t="s">
        <v>2112</v>
      </c>
      <c r="B2084" t="s">
        <v>8</v>
      </c>
      <c r="C2084">
        <v>1</v>
      </c>
      <c r="D2084">
        <v>1</v>
      </c>
      <c r="E2084">
        <v>376.57</v>
      </c>
      <c r="F2084">
        <v>5</v>
      </c>
      <c r="G2084">
        <v>100</v>
      </c>
    </row>
    <row r="2085" spans="1:7" ht="14" x14ac:dyDescent="0.3">
      <c r="A2085" t="s">
        <v>2113</v>
      </c>
      <c r="B2085" t="s">
        <v>8</v>
      </c>
      <c r="C2085">
        <v>5</v>
      </c>
      <c r="D2085">
        <v>5</v>
      </c>
      <c r="E2085">
        <v>374.03</v>
      </c>
      <c r="F2085">
        <v>4.5999999999999996</v>
      </c>
      <c r="G2085">
        <v>100</v>
      </c>
    </row>
    <row r="2086" spans="1:7" ht="14" x14ac:dyDescent="0.3">
      <c r="A2086" t="s">
        <v>2114</v>
      </c>
      <c r="B2086" t="s">
        <v>24</v>
      </c>
      <c r="C2086">
        <v>1</v>
      </c>
      <c r="D2086">
        <v>1</v>
      </c>
      <c r="E2086">
        <v>373.82</v>
      </c>
      <c r="F2086">
        <v>5</v>
      </c>
      <c r="G2086">
        <v>100</v>
      </c>
    </row>
    <row r="2087" spans="1:7" ht="14" x14ac:dyDescent="0.3">
      <c r="A2087" t="s">
        <v>2115</v>
      </c>
      <c r="B2087" t="s">
        <v>8</v>
      </c>
      <c r="C2087">
        <v>2</v>
      </c>
      <c r="D2087">
        <v>3</v>
      </c>
      <c r="E2087">
        <v>373.38</v>
      </c>
      <c r="F2087">
        <v>4.67</v>
      </c>
      <c r="G2087">
        <v>100</v>
      </c>
    </row>
    <row r="2088" spans="1:7" ht="14" x14ac:dyDescent="0.3">
      <c r="A2088" t="s">
        <v>2116</v>
      </c>
      <c r="B2088" t="s">
        <v>8</v>
      </c>
      <c r="C2088">
        <v>3</v>
      </c>
      <c r="D2088">
        <v>4</v>
      </c>
      <c r="E2088">
        <v>373.07</v>
      </c>
      <c r="F2088">
        <v>3.75</v>
      </c>
      <c r="G2088">
        <v>100</v>
      </c>
    </row>
    <row r="2089" spans="1:7" ht="14" x14ac:dyDescent="0.3">
      <c r="A2089" t="s">
        <v>2117</v>
      </c>
      <c r="B2089" t="s">
        <v>42</v>
      </c>
      <c r="C2089">
        <v>1</v>
      </c>
      <c r="D2089">
        <v>1</v>
      </c>
      <c r="E2089">
        <v>370.69</v>
      </c>
      <c r="F2089">
        <v>3</v>
      </c>
      <c r="G2089">
        <v>100</v>
      </c>
    </row>
    <row r="2090" spans="1:7" ht="14" x14ac:dyDescent="0.3">
      <c r="A2090" t="s">
        <v>2118</v>
      </c>
      <c r="B2090" t="s">
        <v>8</v>
      </c>
      <c r="C2090">
        <v>2</v>
      </c>
      <c r="D2090">
        <v>2</v>
      </c>
      <c r="E2090">
        <v>369.77</v>
      </c>
      <c r="F2090">
        <v>3.5</v>
      </c>
      <c r="G2090">
        <v>100</v>
      </c>
    </row>
    <row r="2091" spans="1:7" ht="14" x14ac:dyDescent="0.3">
      <c r="A2091" t="s">
        <v>2119</v>
      </c>
      <c r="B2091" t="s">
        <v>8</v>
      </c>
      <c r="C2091">
        <v>4</v>
      </c>
      <c r="D2091">
        <v>4</v>
      </c>
      <c r="E2091">
        <v>368.4</v>
      </c>
      <c r="F2091">
        <v>4.75</v>
      </c>
      <c r="G2091">
        <v>100</v>
      </c>
    </row>
    <row r="2092" spans="1:7" ht="14" x14ac:dyDescent="0.3">
      <c r="A2092" t="s">
        <v>2120</v>
      </c>
      <c r="B2092" t="s">
        <v>32</v>
      </c>
      <c r="C2092">
        <v>4</v>
      </c>
      <c r="D2092">
        <v>4</v>
      </c>
      <c r="E2092">
        <v>367.39</v>
      </c>
      <c r="F2092">
        <v>4.5</v>
      </c>
      <c r="G2092">
        <v>100</v>
      </c>
    </row>
    <row r="2093" spans="1:7" ht="14" x14ac:dyDescent="0.3">
      <c r="A2093" t="s">
        <v>2121</v>
      </c>
      <c r="B2093" t="s">
        <v>32</v>
      </c>
      <c r="C2093">
        <v>3</v>
      </c>
      <c r="D2093">
        <v>3</v>
      </c>
      <c r="E2093">
        <v>366.9</v>
      </c>
      <c r="F2093">
        <v>5</v>
      </c>
      <c r="G2093">
        <v>100</v>
      </c>
    </row>
    <row r="2094" spans="1:7" ht="14" x14ac:dyDescent="0.3">
      <c r="A2094" t="s">
        <v>2122</v>
      </c>
      <c r="B2094" t="s">
        <v>8</v>
      </c>
      <c r="C2094">
        <v>2</v>
      </c>
      <c r="D2094">
        <v>5</v>
      </c>
      <c r="E2094">
        <v>366.57</v>
      </c>
      <c r="F2094">
        <v>4.8</v>
      </c>
      <c r="G2094">
        <v>100</v>
      </c>
    </row>
    <row r="2095" spans="1:7" ht="14" x14ac:dyDescent="0.3">
      <c r="A2095" t="s">
        <v>2123</v>
      </c>
      <c r="B2095" t="s">
        <v>8</v>
      </c>
      <c r="C2095">
        <v>4</v>
      </c>
      <c r="D2095">
        <v>4</v>
      </c>
      <c r="E2095">
        <v>366.01</v>
      </c>
      <c r="F2095">
        <v>4.25</v>
      </c>
      <c r="G2095">
        <v>75</v>
      </c>
    </row>
    <row r="2096" spans="1:7" ht="14" x14ac:dyDescent="0.3">
      <c r="A2096" t="s">
        <v>2124</v>
      </c>
      <c r="B2096" t="s">
        <v>8</v>
      </c>
      <c r="C2096">
        <v>1</v>
      </c>
      <c r="D2096">
        <v>1</v>
      </c>
      <c r="E2096">
        <v>364.96</v>
      </c>
      <c r="F2096">
        <v>2</v>
      </c>
      <c r="G2096">
        <v>100</v>
      </c>
    </row>
    <row r="2097" spans="1:7" ht="14" x14ac:dyDescent="0.3">
      <c r="A2097" t="s">
        <v>2125</v>
      </c>
      <c r="B2097" t="s">
        <v>8</v>
      </c>
      <c r="C2097">
        <v>2</v>
      </c>
      <c r="D2097">
        <v>2</v>
      </c>
      <c r="E2097">
        <v>364.93</v>
      </c>
      <c r="F2097">
        <v>5</v>
      </c>
      <c r="G2097">
        <v>100</v>
      </c>
    </row>
    <row r="2098" spans="1:7" ht="14" x14ac:dyDescent="0.3">
      <c r="A2098" t="s">
        <v>2126</v>
      </c>
      <c r="B2098" t="s">
        <v>32</v>
      </c>
      <c r="C2098">
        <v>1</v>
      </c>
      <c r="D2098">
        <v>1</v>
      </c>
      <c r="E2098">
        <v>364.64</v>
      </c>
      <c r="F2098">
        <v>4</v>
      </c>
      <c r="G2098">
        <v>100</v>
      </c>
    </row>
    <row r="2099" spans="1:7" ht="14" x14ac:dyDescent="0.3">
      <c r="A2099" t="s">
        <v>2127</v>
      </c>
      <c r="B2099" t="s">
        <v>12</v>
      </c>
      <c r="C2099">
        <v>1</v>
      </c>
      <c r="D2099">
        <v>1</v>
      </c>
      <c r="E2099">
        <v>363.79</v>
      </c>
      <c r="F2099">
        <v>5</v>
      </c>
      <c r="G2099">
        <v>100</v>
      </c>
    </row>
    <row r="2100" spans="1:7" ht="14" x14ac:dyDescent="0.3">
      <c r="A2100" t="s">
        <v>2128</v>
      </c>
      <c r="B2100" t="s">
        <v>8</v>
      </c>
      <c r="C2100">
        <v>2</v>
      </c>
      <c r="D2100">
        <v>2</v>
      </c>
      <c r="E2100">
        <v>363.43</v>
      </c>
      <c r="F2100">
        <v>2</v>
      </c>
      <c r="G2100">
        <v>50</v>
      </c>
    </row>
    <row r="2101" spans="1:7" ht="14" x14ac:dyDescent="0.3">
      <c r="A2101" t="s">
        <v>2129</v>
      </c>
      <c r="B2101" t="s">
        <v>8</v>
      </c>
      <c r="C2101">
        <v>6</v>
      </c>
      <c r="D2101">
        <v>6</v>
      </c>
      <c r="E2101">
        <v>363.41</v>
      </c>
      <c r="F2101">
        <v>5</v>
      </c>
      <c r="G2101">
        <v>100</v>
      </c>
    </row>
    <row r="2102" spans="1:7" ht="14" x14ac:dyDescent="0.3">
      <c r="A2102" t="s">
        <v>2130</v>
      </c>
      <c r="B2102" t="s">
        <v>8</v>
      </c>
      <c r="C2102">
        <v>5</v>
      </c>
      <c r="D2102">
        <v>6</v>
      </c>
      <c r="E2102">
        <v>363.28</v>
      </c>
      <c r="F2102">
        <v>3.17</v>
      </c>
      <c r="G2102">
        <v>100</v>
      </c>
    </row>
    <row r="2103" spans="1:7" ht="14" x14ac:dyDescent="0.3">
      <c r="A2103" t="s">
        <v>2131</v>
      </c>
      <c r="B2103" t="s">
        <v>32</v>
      </c>
      <c r="C2103">
        <v>4</v>
      </c>
      <c r="D2103">
        <v>4</v>
      </c>
      <c r="E2103">
        <v>362.97</v>
      </c>
      <c r="F2103">
        <v>4</v>
      </c>
      <c r="G2103">
        <v>100</v>
      </c>
    </row>
    <row r="2104" spans="1:7" ht="14" x14ac:dyDescent="0.3">
      <c r="A2104" t="s">
        <v>2132</v>
      </c>
      <c r="B2104" t="s">
        <v>24</v>
      </c>
      <c r="C2104">
        <v>1</v>
      </c>
      <c r="D2104">
        <v>1</v>
      </c>
      <c r="E2104">
        <v>361.27</v>
      </c>
      <c r="F2104">
        <v>5</v>
      </c>
      <c r="G2104">
        <v>100</v>
      </c>
    </row>
    <row r="2105" spans="1:7" ht="14" x14ac:dyDescent="0.3">
      <c r="A2105" t="s">
        <v>2133</v>
      </c>
      <c r="B2105" t="s">
        <v>24</v>
      </c>
      <c r="C2105">
        <v>1</v>
      </c>
      <c r="D2105">
        <v>1</v>
      </c>
      <c r="E2105">
        <v>359.91</v>
      </c>
      <c r="F2105">
        <v>5</v>
      </c>
      <c r="G2105">
        <v>100</v>
      </c>
    </row>
    <row r="2106" spans="1:7" ht="14" x14ac:dyDescent="0.3">
      <c r="A2106" t="s">
        <v>2134</v>
      </c>
      <c r="B2106" t="s">
        <v>87</v>
      </c>
      <c r="C2106">
        <v>3</v>
      </c>
      <c r="D2106">
        <v>3</v>
      </c>
      <c r="E2106">
        <v>359.03</v>
      </c>
      <c r="F2106">
        <v>4</v>
      </c>
      <c r="G2106">
        <v>100</v>
      </c>
    </row>
    <row r="2107" spans="1:7" ht="14" x14ac:dyDescent="0.3">
      <c r="A2107" t="s">
        <v>2135</v>
      </c>
      <c r="B2107" t="s">
        <v>42</v>
      </c>
      <c r="C2107">
        <v>2</v>
      </c>
      <c r="D2107">
        <v>8</v>
      </c>
      <c r="E2107">
        <v>357.96</v>
      </c>
      <c r="F2107">
        <v>5</v>
      </c>
      <c r="G2107">
        <v>25</v>
      </c>
    </row>
    <row r="2108" spans="1:7" ht="14" x14ac:dyDescent="0.3">
      <c r="A2108" t="s">
        <v>2136</v>
      </c>
      <c r="B2108" t="s">
        <v>42</v>
      </c>
      <c r="C2108">
        <v>3</v>
      </c>
      <c r="D2108">
        <v>3</v>
      </c>
      <c r="E2108">
        <v>357.35</v>
      </c>
      <c r="F2108">
        <v>4</v>
      </c>
      <c r="G2108">
        <v>100</v>
      </c>
    </row>
    <row r="2109" spans="1:7" ht="14" x14ac:dyDescent="0.3">
      <c r="A2109" t="s">
        <v>2137</v>
      </c>
      <c r="B2109" t="s">
        <v>24</v>
      </c>
      <c r="C2109">
        <v>1</v>
      </c>
      <c r="D2109">
        <v>1</v>
      </c>
      <c r="E2109">
        <v>356.11</v>
      </c>
      <c r="F2109">
        <v>5</v>
      </c>
      <c r="G2109">
        <v>100</v>
      </c>
    </row>
    <row r="2110" spans="1:7" ht="14" x14ac:dyDescent="0.3">
      <c r="A2110" t="s">
        <v>2138</v>
      </c>
      <c r="B2110" t="s">
        <v>8</v>
      </c>
      <c r="C2110">
        <v>2</v>
      </c>
      <c r="D2110">
        <v>2</v>
      </c>
      <c r="E2110">
        <v>355.39</v>
      </c>
      <c r="F2110">
        <v>5</v>
      </c>
      <c r="G2110">
        <v>100</v>
      </c>
    </row>
    <row r="2111" spans="1:7" ht="14" x14ac:dyDescent="0.3">
      <c r="A2111" t="s">
        <v>2139</v>
      </c>
      <c r="B2111" t="s">
        <v>8</v>
      </c>
      <c r="C2111">
        <v>5</v>
      </c>
      <c r="D2111">
        <v>5</v>
      </c>
      <c r="E2111">
        <v>354.89</v>
      </c>
      <c r="F2111">
        <v>4.8</v>
      </c>
      <c r="G2111">
        <v>100</v>
      </c>
    </row>
    <row r="2112" spans="1:7" ht="14" x14ac:dyDescent="0.3">
      <c r="A2112" t="s">
        <v>2140</v>
      </c>
      <c r="B2112" t="s">
        <v>42</v>
      </c>
      <c r="C2112">
        <v>2</v>
      </c>
      <c r="D2112">
        <v>2</v>
      </c>
      <c r="E2112">
        <v>354.78</v>
      </c>
      <c r="F2112">
        <v>5</v>
      </c>
      <c r="G2112">
        <v>100</v>
      </c>
    </row>
    <row r="2113" spans="1:7" ht="14" x14ac:dyDescent="0.3">
      <c r="A2113" t="s">
        <v>2141</v>
      </c>
      <c r="B2113" t="s">
        <v>8</v>
      </c>
      <c r="C2113">
        <v>5</v>
      </c>
      <c r="D2113">
        <v>5</v>
      </c>
      <c r="E2113">
        <v>354.65</v>
      </c>
      <c r="F2113">
        <v>5</v>
      </c>
      <c r="G2113">
        <v>100</v>
      </c>
    </row>
    <row r="2114" spans="1:7" ht="14" x14ac:dyDescent="0.3">
      <c r="A2114" t="s">
        <v>2142</v>
      </c>
      <c r="B2114" t="s">
        <v>8</v>
      </c>
      <c r="C2114">
        <v>4</v>
      </c>
      <c r="D2114">
        <v>4</v>
      </c>
      <c r="E2114">
        <v>354.61</v>
      </c>
      <c r="F2114">
        <v>3.25</v>
      </c>
      <c r="G2114">
        <v>50</v>
      </c>
    </row>
    <row r="2115" spans="1:7" ht="14" x14ac:dyDescent="0.3">
      <c r="A2115" t="s">
        <v>2143</v>
      </c>
      <c r="B2115" t="s">
        <v>8</v>
      </c>
      <c r="C2115">
        <v>3</v>
      </c>
      <c r="D2115">
        <v>3</v>
      </c>
      <c r="E2115">
        <v>354.37</v>
      </c>
      <c r="F2115">
        <v>5</v>
      </c>
      <c r="G2115">
        <v>100</v>
      </c>
    </row>
    <row r="2116" spans="1:7" ht="14" x14ac:dyDescent="0.3">
      <c r="A2116" t="s">
        <v>2144</v>
      </c>
      <c r="B2116" t="s">
        <v>8</v>
      </c>
      <c r="C2116">
        <v>2</v>
      </c>
      <c r="D2116">
        <v>2</v>
      </c>
      <c r="E2116">
        <v>353.26</v>
      </c>
      <c r="F2116">
        <v>5</v>
      </c>
      <c r="G2116">
        <v>100</v>
      </c>
    </row>
    <row r="2117" spans="1:7" ht="14" x14ac:dyDescent="0.3">
      <c r="A2117" t="s">
        <v>2145</v>
      </c>
      <c r="B2117" t="s">
        <v>8</v>
      </c>
      <c r="C2117">
        <v>4</v>
      </c>
      <c r="D2117">
        <v>5</v>
      </c>
      <c r="E2117">
        <v>353.26</v>
      </c>
      <c r="F2117">
        <v>2.4</v>
      </c>
      <c r="G2117">
        <v>80</v>
      </c>
    </row>
    <row r="2118" spans="1:7" ht="14" x14ac:dyDescent="0.3">
      <c r="A2118" t="s">
        <v>2146</v>
      </c>
      <c r="B2118" t="s">
        <v>8</v>
      </c>
      <c r="C2118">
        <v>5</v>
      </c>
      <c r="D2118">
        <v>5</v>
      </c>
      <c r="E2118">
        <v>353.01</v>
      </c>
      <c r="F2118">
        <v>4</v>
      </c>
      <c r="G2118">
        <v>100</v>
      </c>
    </row>
    <row r="2119" spans="1:7" ht="14" x14ac:dyDescent="0.3">
      <c r="A2119" t="s">
        <v>2147</v>
      </c>
      <c r="B2119" t="s">
        <v>309</v>
      </c>
      <c r="C2119">
        <v>3</v>
      </c>
      <c r="D2119">
        <v>4</v>
      </c>
      <c r="E2119">
        <v>352.64</v>
      </c>
      <c r="F2119">
        <v>5</v>
      </c>
      <c r="G2119">
        <v>100</v>
      </c>
    </row>
    <row r="2120" spans="1:7" ht="14" x14ac:dyDescent="0.3">
      <c r="A2120" t="s">
        <v>2148</v>
      </c>
      <c r="B2120" t="s">
        <v>8</v>
      </c>
      <c r="C2120">
        <v>4</v>
      </c>
      <c r="D2120">
        <v>6</v>
      </c>
      <c r="E2120">
        <v>348.98</v>
      </c>
      <c r="F2120">
        <v>4</v>
      </c>
      <c r="G2120">
        <v>100</v>
      </c>
    </row>
    <row r="2121" spans="1:7" ht="14" x14ac:dyDescent="0.3">
      <c r="A2121" t="s">
        <v>2149</v>
      </c>
      <c r="B2121" t="s">
        <v>24</v>
      </c>
      <c r="C2121">
        <v>5</v>
      </c>
      <c r="D2121">
        <v>5</v>
      </c>
      <c r="E2121">
        <v>348.45</v>
      </c>
      <c r="F2121">
        <v>4.4000000000000004</v>
      </c>
      <c r="G2121">
        <v>100</v>
      </c>
    </row>
    <row r="2122" spans="1:7" ht="14" x14ac:dyDescent="0.3">
      <c r="A2122" t="s">
        <v>2150</v>
      </c>
      <c r="B2122" t="s">
        <v>22</v>
      </c>
      <c r="C2122">
        <v>2</v>
      </c>
      <c r="D2122">
        <v>2</v>
      </c>
      <c r="E2122">
        <v>347.73</v>
      </c>
      <c r="F2122">
        <v>3</v>
      </c>
      <c r="G2122">
        <v>100</v>
      </c>
    </row>
    <row r="2123" spans="1:7" ht="14" x14ac:dyDescent="0.3">
      <c r="A2123" t="s">
        <v>2151</v>
      </c>
      <c r="B2123" t="s">
        <v>8</v>
      </c>
      <c r="C2123">
        <v>5</v>
      </c>
      <c r="D2123">
        <v>5</v>
      </c>
      <c r="E2123">
        <v>347.48</v>
      </c>
      <c r="F2123">
        <v>4.8</v>
      </c>
      <c r="G2123">
        <v>80</v>
      </c>
    </row>
    <row r="2124" spans="1:7" ht="14" x14ac:dyDescent="0.3">
      <c r="A2124" t="s">
        <v>2152</v>
      </c>
      <c r="B2124" t="s">
        <v>38</v>
      </c>
      <c r="C2124">
        <v>1</v>
      </c>
      <c r="D2124">
        <v>1</v>
      </c>
      <c r="E2124">
        <v>346.27</v>
      </c>
      <c r="F2124">
        <v>5</v>
      </c>
      <c r="G2124">
        <v>100</v>
      </c>
    </row>
    <row r="2125" spans="1:7" ht="14" x14ac:dyDescent="0.3">
      <c r="A2125" t="s">
        <v>2153</v>
      </c>
      <c r="B2125" t="s">
        <v>8</v>
      </c>
      <c r="C2125">
        <v>9</v>
      </c>
      <c r="D2125">
        <v>10</v>
      </c>
      <c r="E2125">
        <v>346.04</v>
      </c>
      <c r="F2125">
        <v>4.5999999999999996</v>
      </c>
      <c r="G2125">
        <v>100</v>
      </c>
    </row>
    <row r="2126" spans="1:7" ht="14" x14ac:dyDescent="0.3">
      <c r="A2126" t="s">
        <v>2154</v>
      </c>
      <c r="B2126" t="s">
        <v>8</v>
      </c>
      <c r="C2126">
        <v>2</v>
      </c>
      <c r="D2126">
        <v>5</v>
      </c>
      <c r="E2126">
        <v>345.35</v>
      </c>
      <c r="F2126">
        <v>3.4</v>
      </c>
      <c r="G2126">
        <v>100</v>
      </c>
    </row>
    <row r="2127" spans="1:7" ht="14" x14ac:dyDescent="0.3">
      <c r="A2127" t="s">
        <v>2155</v>
      </c>
      <c r="B2127" t="s">
        <v>32</v>
      </c>
      <c r="C2127">
        <v>1</v>
      </c>
      <c r="D2127">
        <v>1</v>
      </c>
      <c r="E2127">
        <v>344.67</v>
      </c>
      <c r="F2127">
        <v>4</v>
      </c>
      <c r="G2127">
        <v>100</v>
      </c>
    </row>
    <row r="2128" spans="1:7" ht="14" x14ac:dyDescent="0.3">
      <c r="A2128" t="s">
        <v>2156</v>
      </c>
      <c r="B2128" t="s">
        <v>8</v>
      </c>
      <c r="C2128">
        <v>2</v>
      </c>
      <c r="D2128">
        <v>2</v>
      </c>
      <c r="E2128">
        <v>344.17</v>
      </c>
      <c r="F2128">
        <v>4.5</v>
      </c>
      <c r="G2128">
        <v>100</v>
      </c>
    </row>
    <row r="2129" spans="1:7" ht="14" x14ac:dyDescent="0.3">
      <c r="A2129" t="s">
        <v>2157</v>
      </c>
      <c r="B2129" t="s">
        <v>8</v>
      </c>
      <c r="C2129">
        <v>1</v>
      </c>
      <c r="D2129">
        <v>1</v>
      </c>
      <c r="E2129">
        <v>339.86</v>
      </c>
      <c r="F2129">
        <v>5</v>
      </c>
      <c r="G2129">
        <v>100</v>
      </c>
    </row>
    <row r="2130" spans="1:7" ht="14" x14ac:dyDescent="0.3">
      <c r="A2130" t="s">
        <v>2158</v>
      </c>
      <c r="B2130" t="s">
        <v>8</v>
      </c>
      <c r="C2130">
        <v>3</v>
      </c>
      <c r="D2130">
        <v>3</v>
      </c>
      <c r="E2130">
        <v>339.29</v>
      </c>
      <c r="F2130">
        <v>3.67</v>
      </c>
      <c r="G2130">
        <v>100</v>
      </c>
    </row>
    <row r="2131" spans="1:7" ht="14" x14ac:dyDescent="0.3">
      <c r="A2131" t="s">
        <v>2159</v>
      </c>
      <c r="B2131" t="s">
        <v>32</v>
      </c>
      <c r="C2131">
        <v>1</v>
      </c>
      <c r="D2131">
        <v>1</v>
      </c>
      <c r="E2131">
        <v>338.74</v>
      </c>
      <c r="F2131">
        <v>5</v>
      </c>
      <c r="G2131">
        <v>100</v>
      </c>
    </row>
    <row r="2132" spans="1:7" ht="14" x14ac:dyDescent="0.3">
      <c r="A2132" t="s">
        <v>2160</v>
      </c>
      <c r="B2132" t="s">
        <v>8</v>
      </c>
      <c r="C2132">
        <v>2</v>
      </c>
      <c r="D2132">
        <v>2</v>
      </c>
      <c r="E2132">
        <v>338.63</v>
      </c>
      <c r="F2132">
        <v>5</v>
      </c>
      <c r="G2132">
        <v>100</v>
      </c>
    </row>
    <row r="2133" spans="1:7" ht="14" x14ac:dyDescent="0.3">
      <c r="A2133" t="s">
        <v>2161</v>
      </c>
      <c r="B2133" t="s">
        <v>42</v>
      </c>
      <c r="C2133">
        <v>9</v>
      </c>
      <c r="D2133">
        <v>10</v>
      </c>
      <c r="E2133">
        <v>338.49</v>
      </c>
      <c r="F2133">
        <v>4.5999999999999996</v>
      </c>
      <c r="G2133">
        <v>100</v>
      </c>
    </row>
    <row r="2134" spans="1:7" ht="14" x14ac:dyDescent="0.3">
      <c r="A2134" t="s">
        <v>2162</v>
      </c>
      <c r="B2134" t="s">
        <v>8</v>
      </c>
      <c r="C2134">
        <v>5</v>
      </c>
      <c r="D2134">
        <v>11</v>
      </c>
      <c r="E2134">
        <v>338.25</v>
      </c>
      <c r="F2134">
        <v>3.55</v>
      </c>
      <c r="G2134">
        <v>90.9</v>
      </c>
    </row>
    <row r="2135" spans="1:7" ht="14" x14ac:dyDescent="0.3">
      <c r="A2135" t="s">
        <v>2163</v>
      </c>
      <c r="B2135" t="s">
        <v>87</v>
      </c>
      <c r="C2135">
        <v>3</v>
      </c>
      <c r="D2135">
        <v>3</v>
      </c>
      <c r="E2135">
        <v>337.17</v>
      </c>
      <c r="F2135">
        <v>4.67</v>
      </c>
      <c r="G2135">
        <v>100</v>
      </c>
    </row>
    <row r="2136" spans="1:7" ht="14" x14ac:dyDescent="0.3">
      <c r="A2136" t="s">
        <v>2164</v>
      </c>
      <c r="B2136" t="s">
        <v>8</v>
      </c>
      <c r="C2136">
        <v>6</v>
      </c>
      <c r="D2136">
        <v>6</v>
      </c>
      <c r="E2136">
        <v>336.94</v>
      </c>
      <c r="F2136">
        <v>4.67</v>
      </c>
      <c r="G2136">
        <v>100</v>
      </c>
    </row>
    <row r="2137" spans="1:7" ht="14" x14ac:dyDescent="0.3">
      <c r="A2137" t="s">
        <v>2165</v>
      </c>
      <c r="B2137" t="s">
        <v>8</v>
      </c>
      <c r="C2137">
        <v>6</v>
      </c>
      <c r="D2137">
        <v>6</v>
      </c>
      <c r="E2137">
        <v>336.75</v>
      </c>
      <c r="F2137">
        <v>3.6</v>
      </c>
      <c r="G2137">
        <v>100</v>
      </c>
    </row>
    <row r="2138" spans="1:7" ht="14" x14ac:dyDescent="0.3">
      <c r="A2138" t="s">
        <v>2166</v>
      </c>
      <c r="B2138" t="s">
        <v>8</v>
      </c>
      <c r="C2138">
        <v>8</v>
      </c>
      <c r="D2138">
        <v>8</v>
      </c>
      <c r="E2138">
        <v>336.49</v>
      </c>
      <c r="F2138">
        <v>3.63</v>
      </c>
      <c r="G2138">
        <v>87.5</v>
      </c>
    </row>
    <row r="2139" spans="1:7" ht="14" x14ac:dyDescent="0.3">
      <c r="A2139" t="s">
        <v>2167</v>
      </c>
      <c r="B2139" t="s">
        <v>8</v>
      </c>
      <c r="C2139">
        <v>4</v>
      </c>
      <c r="D2139">
        <v>6</v>
      </c>
      <c r="E2139">
        <v>335.79</v>
      </c>
      <c r="F2139">
        <v>3.67</v>
      </c>
      <c r="G2139">
        <v>100</v>
      </c>
    </row>
    <row r="2140" spans="1:7" ht="14" x14ac:dyDescent="0.3">
      <c r="A2140" t="s">
        <v>2168</v>
      </c>
      <c r="B2140" t="s">
        <v>8</v>
      </c>
      <c r="C2140">
        <v>1</v>
      </c>
      <c r="D2140">
        <v>1</v>
      </c>
      <c r="E2140">
        <v>335.09</v>
      </c>
      <c r="F2140">
        <v>5</v>
      </c>
      <c r="G2140">
        <v>100</v>
      </c>
    </row>
    <row r="2141" spans="1:7" ht="14" x14ac:dyDescent="0.3">
      <c r="A2141" t="s">
        <v>2169</v>
      </c>
      <c r="B2141" t="s">
        <v>42</v>
      </c>
      <c r="C2141">
        <v>6</v>
      </c>
      <c r="D2141">
        <v>6</v>
      </c>
      <c r="E2141">
        <v>334.42</v>
      </c>
      <c r="F2141">
        <v>4.5</v>
      </c>
      <c r="G2141">
        <v>100</v>
      </c>
    </row>
    <row r="2142" spans="1:7" ht="14" x14ac:dyDescent="0.3">
      <c r="A2142" t="s">
        <v>2170</v>
      </c>
      <c r="B2142" t="s">
        <v>8</v>
      </c>
      <c r="C2142">
        <v>2</v>
      </c>
      <c r="D2142">
        <v>2</v>
      </c>
      <c r="E2142">
        <v>334.3</v>
      </c>
      <c r="F2142">
        <v>4.5</v>
      </c>
      <c r="G2142">
        <v>100</v>
      </c>
    </row>
    <row r="2143" spans="1:7" ht="14" x14ac:dyDescent="0.3">
      <c r="A2143" t="s">
        <v>2171</v>
      </c>
      <c r="B2143" t="s">
        <v>8</v>
      </c>
      <c r="C2143">
        <v>2</v>
      </c>
      <c r="D2143">
        <v>2</v>
      </c>
      <c r="E2143">
        <v>334.29</v>
      </c>
      <c r="F2143">
        <v>4.5</v>
      </c>
      <c r="G2143">
        <v>100</v>
      </c>
    </row>
    <row r="2144" spans="1:7" ht="14" x14ac:dyDescent="0.3">
      <c r="A2144" t="s">
        <v>2172</v>
      </c>
      <c r="B2144" t="s">
        <v>8</v>
      </c>
      <c r="C2144">
        <v>7</v>
      </c>
      <c r="D2144">
        <v>8</v>
      </c>
      <c r="E2144">
        <v>334.09</v>
      </c>
      <c r="F2144">
        <v>4.5</v>
      </c>
      <c r="G2144">
        <v>87.5</v>
      </c>
    </row>
    <row r="2145" spans="1:7" ht="14" x14ac:dyDescent="0.3">
      <c r="A2145" t="s">
        <v>2173</v>
      </c>
      <c r="B2145" t="s">
        <v>8</v>
      </c>
      <c r="C2145">
        <v>1</v>
      </c>
      <c r="D2145">
        <v>1</v>
      </c>
      <c r="E2145">
        <v>332.25</v>
      </c>
      <c r="F2145">
        <v>4</v>
      </c>
      <c r="G2145">
        <v>0</v>
      </c>
    </row>
    <row r="2146" spans="1:7" ht="14" x14ac:dyDescent="0.3">
      <c r="A2146" t="s">
        <v>2174</v>
      </c>
      <c r="B2146" t="s">
        <v>8</v>
      </c>
      <c r="C2146">
        <v>3</v>
      </c>
      <c r="D2146">
        <v>3</v>
      </c>
      <c r="E2146">
        <v>330.46</v>
      </c>
      <c r="F2146">
        <v>5</v>
      </c>
      <c r="G2146">
        <v>100</v>
      </c>
    </row>
    <row r="2147" spans="1:7" ht="14" x14ac:dyDescent="0.3">
      <c r="A2147" t="s">
        <v>2175</v>
      </c>
      <c r="B2147" t="s">
        <v>8</v>
      </c>
      <c r="C2147">
        <v>4</v>
      </c>
      <c r="D2147">
        <v>4</v>
      </c>
      <c r="E2147">
        <v>330.09</v>
      </c>
      <c r="F2147">
        <v>4</v>
      </c>
      <c r="G2147">
        <v>75</v>
      </c>
    </row>
    <row r="2148" spans="1:7" ht="14" x14ac:dyDescent="0.3">
      <c r="A2148" t="s">
        <v>2176</v>
      </c>
      <c r="B2148" t="s">
        <v>87</v>
      </c>
      <c r="C2148">
        <v>2</v>
      </c>
      <c r="D2148">
        <v>2</v>
      </c>
      <c r="E2148">
        <v>330.06</v>
      </c>
      <c r="F2148">
        <v>2.5</v>
      </c>
      <c r="G2148">
        <v>100</v>
      </c>
    </row>
    <row r="2149" spans="1:7" ht="14" x14ac:dyDescent="0.3">
      <c r="A2149" t="s">
        <v>2177</v>
      </c>
      <c r="B2149" t="s">
        <v>42</v>
      </c>
      <c r="C2149">
        <v>4</v>
      </c>
      <c r="D2149">
        <v>7</v>
      </c>
      <c r="E2149">
        <v>329.71</v>
      </c>
      <c r="F2149">
        <v>5</v>
      </c>
      <c r="G2149">
        <v>100</v>
      </c>
    </row>
    <row r="2150" spans="1:7" ht="14" x14ac:dyDescent="0.3">
      <c r="A2150" t="s">
        <v>2178</v>
      </c>
      <c r="B2150" t="s">
        <v>8</v>
      </c>
      <c r="C2150">
        <v>2</v>
      </c>
      <c r="D2150">
        <v>2</v>
      </c>
      <c r="E2150">
        <v>329.68</v>
      </c>
      <c r="F2150">
        <v>5</v>
      </c>
      <c r="G2150">
        <v>100</v>
      </c>
    </row>
    <row r="2151" spans="1:7" ht="14" x14ac:dyDescent="0.3">
      <c r="A2151" t="s">
        <v>2179</v>
      </c>
      <c r="B2151" t="s">
        <v>8</v>
      </c>
      <c r="C2151">
        <v>2</v>
      </c>
      <c r="D2151">
        <v>2</v>
      </c>
      <c r="E2151">
        <v>329.11</v>
      </c>
      <c r="F2151">
        <v>4</v>
      </c>
      <c r="G2151">
        <v>100</v>
      </c>
    </row>
    <row r="2152" spans="1:7" ht="14" x14ac:dyDescent="0.3">
      <c r="A2152" t="s">
        <v>2180</v>
      </c>
      <c r="B2152" t="s">
        <v>8</v>
      </c>
      <c r="C2152">
        <v>5</v>
      </c>
      <c r="D2152">
        <v>5</v>
      </c>
      <c r="E2152">
        <v>328.36</v>
      </c>
      <c r="F2152">
        <v>3.8</v>
      </c>
      <c r="G2152">
        <v>80</v>
      </c>
    </row>
    <row r="2153" spans="1:7" ht="14" x14ac:dyDescent="0.3">
      <c r="A2153" t="s">
        <v>2181</v>
      </c>
      <c r="B2153" t="s">
        <v>8</v>
      </c>
      <c r="C2153">
        <v>2</v>
      </c>
      <c r="D2153">
        <v>2</v>
      </c>
      <c r="E2153">
        <v>328.06</v>
      </c>
      <c r="F2153">
        <v>5</v>
      </c>
      <c r="G2153">
        <v>100</v>
      </c>
    </row>
    <row r="2154" spans="1:7" ht="14" x14ac:dyDescent="0.3">
      <c r="A2154" t="s">
        <v>2182</v>
      </c>
      <c r="B2154" t="s">
        <v>8</v>
      </c>
      <c r="C2154">
        <v>3</v>
      </c>
      <c r="D2154">
        <v>7</v>
      </c>
      <c r="E2154">
        <v>327.39999999999998</v>
      </c>
      <c r="F2154">
        <v>4.29</v>
      </c>
      <c r="G2154">
        <v>100</v>
      </c>
    </row>
    <row r="2155" spans="1:7" ht="14" x14ac:dyDescent="0.3">
      <c r="A2155" t="s">
        <v>2183</v>
      </c>
      <c r="B2155" t="s">
        <v>32</v>
      </c>
      <c r="C2155">
        <v>1</v>
      </c>
      <c r="D2155">
        <v>1</v>
      </c>
      <c r="E2155">
        <v>327.25</v>
      </c>
      <c r="F2155">
        <v>5</v>
      </c>
      <c r="G2155">
        <v>100</v>
      </c>
    </row>
    <row r="2156" spans="1:7" ht="14" x14ac:dyDescent="0.3">
      <c r="A2156" t="s">
        <v>2184</v>
      </c>
      <c r="B2156" t="s">
        <v>8</v>
      </c>
      <c r="C2156">
        <v>2</v>
      </c>
      <c r="D2156">
        <v>2</v>
      </c>
      <c r="E2156">
        <v>327.10000000000002</v>
      </c>
      <c r="F2156">
        <v>5</v>
      </c>
      <c r="G2156">
        <v>100</v>
      </c>
    </row>
    <row r="2157" spans="1:7" ht="14" x14ac:dyDescent="0.3">
      <c r="A2157" t="s">
        <v>2185</v>
      </c>
      <c r="B2157" t="s">
        <v>8</v>
      </c>
      <c r="C2157">
        <v>4</v>
      </c>
      <c r="D2157">
        <v>4</v>
      </c>
      <c r="E2157">
        <v>326.45999999999998</v>
      </c>
      <c r="F2157">
        <v>5</v>
      </c>
      <c r="G2157">
        <v>100</v>
      </c>
    </row>
    <row r="2158" spans="1:7" ht="14" x14ac:dyDescent="0.3">
      <c r="A2158" t="s">
        <v>2186</v>
      </c>
      <c r="B2158" t="s">
        <v>24</v>
      </c>
      <c r="C2158">
        <v>4</v>
      </c>
      <c r="D2158">
        <v>4</v>
      </c>
      <c r="E2158">
        <v>326.45</v>
      </c>
      <c r="F2158">
        <v>4.25</v>
      </c>
      <c r="G2158">
        <v>100</v>
      </c>
    </row>
    <row r="2159" spans="1:7" ht="14" x14ac:dyDescent="0.3">
      <c r="A2159" t="s">
        <v>2187</v>
      </c>
      <c r="B2159" t="s">
        <v>32</v>
      </c>
      <c r="C2159">
        <v>2</v>
      </c>
      <c r="D2159">
        <v>2</v>
      </c>
      <c r="E2159">
        <v>326.08</v>
      </c>
      <c r="F2159">
        <v>4</v>
      </c>
      <c r="G2159">
        <v>100</v>
      </c>
    </row>
    <row r="2160" spans="1:7" ht="14" x14ac:dyDescent="0.3">
      <c r="A2160" t="s">
        <v>2188</v>
      </c>
      <c r="B2160" t="s">
        <v>32</v>
      </c>
      <c r="C2160">
        <v>1</v>
      </c>
      <c r="D2160">
        <v>1</v>
      </c>
      <c r="E2160">
        <v>325.33</v>
      </c>
      <c r="F2160">
        <v>5</v>
      </c>
      <c r="G2160">
        <v>100</v>
      </c>
    </row>
    <row r="2161" spans="1:7" ht="14" x14ac:dyDescent="0.3">
      <c r="A2161" t="s">
        <v>2189</v>
      </c>
      <c r="B2161" t="s">
        <v>8</v>
      </c>
      <c r="C2161">
        <v>5</v>
      </c>
      <c r="D2161">
        <v>6</v>
      </c>
      <c r="E2161">
        <v>324.97000000000003</v>
      </c>
      <c r="F2161">
        <v>2.67</v>
      </c>
      <c r="G2161">
        <v>100</v>
      </c>
    </row>
    <row r="2162" spans="1:7" ht="14" x14ac:dyDescent="0.3">
      <c r="A2162" t="s">
        <v>2190</v>
      </c>
      <c r="B2162" t="s">
        <v>8</v>
      </c>
      <c r="C2162">
        <v>4</v>
      </c>
      <c r="D2162">
        <v>4</v>
      </c>
      <c r="E2162">
        <v>324.83999999999997</v>
      </c>
      <c r="F2162">
        <v>4</v>
      </c>
      <c r="G2162">
        <v>100</v>
      </c>
    </row>
    <row r="2163" spans="1:7" ht="14" x14ac:dyDescent="0.3">
      <c r="A2163" t="s">
        <v>2191</v>
      </c>
      <c r="B2163" t="s">
        <v>32</v>
      </c>
      <c r="C2163">
        <v>3</v>
      </c>
      <c r="D2163">
        <v>3</v>
      </c>
      <c r="E2163">
        <v>323.45999999999998</v>
      </c>
      <c r="F2163">
        <v>3.33</v>
      </c>
      <c r="G2163">
        <v>66.7</v>
      </c>
    </row>
    <row r="2164" spans="1:7" ht="14" x14ac:dyDescent="0.3">
      <c r="A2164" t="s">
        <v>2192</v>
      </c>
      <c r="B2164" t="s">
        <v>8</v>
      </c>
      <c r="C2164">
        <v>2</v>
      </c>
      <c r="D2164">
        <v>2</v>
      </c>
      <c r="E2164">
        <v>322.08</v>
      </c>
      <c r="F2164">
        <v>3.5</v>
      </c>
      <c r="G2164">
        <v>100</v>
      </c>
    </row>
    <row r="2165" spans="1:7" ht="14" x14ac:dyDescent="0.3">
      <c r="A2165" t="s">
        <v>2193</v>
      </c>
      <c r="B2165" t="s">
        <v>8</v>
      </c>
      <c r="C2165">
        <v>2</v>
      </c>
      <c r="D2165">
        <v>2</v>
      </c>
      <c r="E2165">
        <v>321.88</v>
      </c>
      <c r="F2165">
        <v>5</v>
      </c>
      <c r="G2165">
        <v>100</v>
      </c>
    </row>
    <row r="2166" spans="1:7" ht="14" x14ac:dyDescent="0.3">
      <c r="A2166" s="1" t="s">
        <v>2194</v>
      </c>
      <c r="B2166" t="s">
        <v>8</v>
      </c>
      <c r="C2166">
        <v>3</v>
      </c>
      <c r="D2166">
        <v>4</v>
      </c>
      <c r="E2166">
        <v>321.77</v>
      </c>
      <c r="F2166">
        <v>3.75</v>
      </c>
      <c r="G2166">
        <v>100</v>
      </c>
    </row>
    <row r="2167" spans="1:7" ht="14" x14ac:dyDescent="0.3">
      <c r="A2167" t="s">
        <v>2195</v>
      </c>
      <c r="B2167" t="s">
        <v>8</v>
      </c>
      <c r="C2167">
        <v>3</v>
      </c>
      <c r="D2167">
        <v>3</v>
      </c>
      <c r="E2167">
        <v>321.02</v>
      </c>
      <c r="F2167">
        <v>3.67</v>
      </c>
      <c r="G2167">
        <v>100</v>
      </c>
    </row>
    <row r="2168" spans="1:7" ht="14" x14ac:dyDescent="0.3">
      <c r="A2168" t="s">
        <v>2196</v>
      </c>
      <c r="B2168" t="s">
        <v>87</v>
      </c>
      <c r="C2168">
        <v>4</v>
      </c>
      <c r="D2168">
        <v>4</v>
      </c>
      <c r="E2168">
        <v>319.98</v>
      </c>
      <c r="F2168">
        <v>4.75</v>
      </c>
      <c r="G2168">
        <v>100</v>
      </c>
    </row>
    <row r="2169" spans="1:7" ht="14" x14ac:dyDescent="0.3">
      <c r="A2169" t="s">
        <v>2197</v>
      </c>
      <c r="B2169" t="s">
        <v>24</v>
      </c>
      <c r="C2169">
        <v>3</v>
      </c>
      <c r="D2169">
        <v>3</v>
      </c>
      <c r="E2169">
        <v>319.29000000000002</v>
      </c>
      <c r="F2169">
        <v>4.33</v>
      </c>
      <c r="G2169">
        <v>100</v>
      </c>
    </row>
    <row r="2170" spans="1:7" ht="14" x14ac:dyDescent="0.3">
      <c r="A2170" t="s">
        <v>2198</v>
      </c>
      <c r="B2170" t="s">
        <v>8</v>
      </c>
      <c r="C2170">
        <v>9</v>
      </c>
      <c r="D2170">
        <v>9</v>
      </c>
      <c r="E2170">
        <v>319.04000000000002</v>
      </c>
      <c r="F2170">
        <v>4.5599999999999996</v>
      </c>
      <c r="G2170">
        <v>88.9</v>
      </c>
    </row>
    <row r="2171" spans="1:7" ht="14" x14ac:dyDescent="0.3">
      <c r="A2171" t="s">
        <v>2199</v>
      </c>
      <c r="B2171" t="s">
        <v>8</v>
      </c>
      <c r="C2171">
        <v>5</v>
      </c>
      <c r="D2171">
        <v>7</v>
      </c>
      <c r="E2171">
        <v>319.02</v>
      </c>
      <c r="F2171">
        <v>4.1399999999999997</v>
      </c>
      <c r="G2171">
        <v>100</v>
      </c>
    </row>
    <row r="2172" spans="1:7" ht="14" x14ac:dyDescent="0.3">
      <c r="A2172" t="s">
        <v>2200</v>
      </c>
      <c r="B2172" t="s">
        <v>8</v>
      </c>
      <c r="C2172">
        <v>1</v>
      </c>
      <c r="D2172">
        <v>1</v>
      </c>
      <c r="E2172">
        <v>318.3</v>
      </c>
      <c r="F2172">
        <v>5</v>
      </c>
      <c r="G2172">
        <v>100</v>
      </c>
    </row>
    <row r="2173" spans="1:7" ht="14" x14ac:dyDescent="0.3">
      <c r="A2173" t="s">
        <v>2201</v>
      </c>
      <c r="B2173" t="s">
        <v>8</v>
      </c>
      <c r="C2173">
        <v>1</v>
      </c>
      <c r="D2173">
        <v>1</v>
      </c>
      <c r="E2173">
        <v>317.37</v>
      </c>
      <c r="F2173">
        <v>5</v>
      </c>
      <c r="G2173">
        <v>100</v>
      </c>
    </row>
    <row r="2174" spans="1:7" ht="14" x14ac:dyDescent="0.3">
      <c r="A2174" t="s">
        <v>2202</v>
      </c>
      <c r="B2174" t="s">
        <v>32</v>
      </c>
      <c r="C2174">
        <v>6</v>
      </c>
      <c r="D2174">
        <v>6</v>
      </c>
      <c r="E2174">
        <v>317.18</v>
      </c>
      <c r="F2174">
        <v>5</v>
      </c>
      <c r="G2174">
        <v>100</v>
      </c>
    </row>
    <row r="2175" spans="1:7" ht="14" x14ac:dyDescent="0.3">
      <c r="A2175" t="s">
        <v>2203</v>
      </c>
      <c r="B2175" t="s">
        <v>32</v>
      </c>
      <c r="C2175">
        <v>5</v>
      </c>
      <c r="D2175">
        <v>6</v>
      </c>
      <c r="E2175">
        <v>316.41000000000003</v>
      </c>
      <c r="F2175">
        <v>4.83</v>
      </c>
      <c r="G2175">
        <v>100</v>
      </c>
    </row>
    <row r="2176" spans="1:7" ht="14" x14ac:dyDescent="0.3">
      <c r="A2176" t="s">
        <v>2204</v>
      </c>
      <c r="B2176" t="s">
        <v>87</v>
      </c>
      <c r="C2176">
        <v>3</v>
      </c>
      <c r="D2176">
        <v>3</v>
      </c>
      <c r="E2176">
        <v>316.23</v>
      </c>
      <c r="F2176">
        <v>5</v>
      </c>
      <c r="G2176">
        <v>100</v>
      </c>
    </row>
    <row r="2177" spans="1:7" ht="14" x14ac:dyDescent="0.3">
      <c r="A2177" t="s">
        <v>2205</v>
      </c>
      <c r="B2177" t="s">
        <v>32</v>
      </c>
      <c r="C2177">
        <v>4</v>
      </c>
      <c r="D2177">
        <v>4</v>
      </c>
      <c r="E2177">
        <v>316.12</v>
      </c>
      <c r="F2177">
        <v>4.5</v>
      </c>
      <c r="G2177">
        <v>100</v>
      </c>
    </row>
    <row r="2178" spans="1:7" ht="14" x14ac:dyDescent="0.3">
      <c r="A2178" t="s">
        <v>2206</v>
      </c>
      <c r="B2178" t="s">
        <v>8</v>
      </c>
      <c r="C2178">
        <v>1</v>
      </c>
      <c r="D2178">
        <v>1</v>
      </c>
      <c r="E2178">
        <v>315.98</v>
      </c>
      <c r="F2178">
        <v>1</v>
      </c>
      <c r="G2178">
        <v>0</v>
      </c>
    </row>
    <row r="2179" spans="1:7" ht="14" x14ac:dyDescent="0.3">
      <c r="A2179" t="s">
        <v>2207</v>
      </c>
      <c r="B2179" t="s">
        <v>42</v>
      </c>
      <c r="C2179">
        <v>3</v>
      </c>
      <c r="D2179">
        <v>3</v>
      </c>
      <c r="E2179">
        <v>315.44</v>
      </c>
      <c r="F2179">
        <v>4.67</v>
      </c>
      <c r="G2179">
        <v>100</v>
      </c>
    </row>
    <row r="2180" spans="1:7" ht="14" x14ac:dyDescent="0.3">
      <c r="A2180" t="s">
        <v>2208</v>
      </c>
      <c r="B2180" t="s">
        <v>87</v>
      </c>
      <c r="C2180">
        <v>1</v>
      </c>
      <c r="D2180">
        <v>1</v>
      </c>
      <c r="E2180">
        <v>314.32</v>
      </c>
      <c r="F2180">
        <v>5</v>
      </c>
      <c r="G2180">
        <v>100</v>
      </c>
    </row>
    <row r="2181" spans="1:7" ht="14" x14ac:dyDescent="0.3">
      <c r="A2181" t="s">
        <v>2209</v>
      </c>
      <c r="B2181" t="s">
        <v>8</v>
      </c>
      <c r="C2181">
        <v>6</v>
      </c>
      <c r="D2181">
        <v>6</v>
      </c>
      <c r="E2181">
        <v>313.68</v>
      </c>
      <c r="F2181">
        <v>4.33</v>
      </c>
      <c r="G2181">
        <v>66.7</v>
      </c>
    </row>
    <row r="2182" spans="1:7" ht="14" x14ac:dyDescent="0.3">
      <c r="A2182" t="s">
        <v>2210</v>
      </c>
      <c r="B2182" t="s">
        <v>8</v>
      </c>
      <c r="C2182">
        <v>1</v>
      </c>
      <c r="D2182">
        <v>1</v>
      </c>
      <c r="E2182">
        <v>313.61</v>
      </c>
      <c r="F2182">
        <v>5</v>
      </c>
      <c r="G2182">
        <v>100</v>
      </c>
    </row>
    <row r="2183" spans="1:7" ht="14" x14ac:dyDescent="0.3">
      <c r="A2183" t="s">
        <v>2211</v>
      </c>
      <c r="B2183" t="s">
        <v>8</v>
      </c>
      <c r="C2183">
        <v>1</v>
      </c>
      <c r="D2183">
        <v>1</v>
      </c>
      <c r="E2183">
        <v>313.43</v>
      </c>
      <c r="F2183">
        <v>4</v>
      </c>
      <c r="G2183">
        <v>100</v>
      </c>
    </row>
    <row r="2184" spans="1:7" ht="14" x14ac:dyDescent="0.3">
      <c r="A2184" t="s">
        <v>2212</v>
      </c>
      <c r="B2184" t="s">
        <v>8</v>
      </c>
      <c r="C2184">
        <v>5</v>
      </c>
      <c r="D2184">
        <v>7</v>
      </c>
      <c r="E2184">
        <v>312.57</v>
      </c>
      <c r="F2184">
        <v>5</v>
      </c>
      <c r="G2184">
        <v>100</v>
      </c>
    </row>
    <row r="2185" spans="1:7" ht="14" x14ac:dyDescent="0.3">
      <c r="A2185" t="s">
        <v>2213</v>
      </c>
      <c r="B2185" t="s">
        <v>8</v>
      </c>
      <c r="C2185">
        <v>1</v>
      </c>
      <c r="D2185">
        <v>1</v>
      </c>
      <c r="E2185">
        <v>312.02</v>
      </c>
      <c r="F2185">
        <v>5</v>
      </c>
      <c r="G2185">
        <v>100</v>
      </c>
    </row>
    <row r="2186" spans="1:7" ht="14" x14ac:dyDescent="0.3">
      <c r="A2186" t="s">
        <v>2214</v>
      </c>
      <c r="B2186" t="s">
        <v>8</v>
      </c>
      <c r="C2186">
        <v>5</v>
      </c>
      <c r="D2186">
        <v>5</v>
      </c>
      <c r="E2186">
        <v>311.66000000000003</v>
      </c>
      <c r="F2186">
        <v>5</v>
      </c>
      <c r="G2186">
        <v>100</v>
      </c>
    </row>
    <row r="2187" spans="1:7" ht="14" x14ac:dyDescent="0.3">
      <c r="A2187" t="s">
        <v>2215</v>
      </c>
      <c r="B2187" t="s">
        <v>32</v>
      </c>
      <c r="C2187">
        <v>4</v>
      </c>
      <c r="D2187">
        <v>6</v>
      </c>
      <c r="E2187">
        <v>311.43</v>
      </c>
      <c r="F2187">
        <v>4.33</v>
      </c>
      <c r="G2187">
        <v>83.3</v>
      </c>
    </row>
    <row r="2188" spans="1:7" ht="14" x14ac:dyDescent="0.3">
      <c r="A2188" t="s">
        <v>2216</v>
      </c>
      <c r="B2188" t="s">
        <v>8</v>
      </c>
      <c r="C2188">
        <v>6</v>
      </c>
      <c r="D2188">
        <v>7</v>
      </c>
      <c r="E2188">
        <v>310.67</v>
      </c>
      <c r="F2188">
        <v>2.71</v>
      </c>
      <c r="G2188">
        <v>100</v>
      </c>
    </row>
    <row r="2189" spans="1:7" ht="14" x14ac:dyDescent="0.3">
      <c r="A2189" t="s">
        <v>2217</v>
      </c>
      <c r="B2189" t="s">
        <v>32</v>
      </c>
      <c r="C2189">
        <v>4</v>
      </c>
      <c r="D2189">
        <v>4</v>
      </c>
      <c r="E2189">
        <v>310.2</v>
      </c>
      <c r="F2189">
        <v>3.75</v>
      </c>
      <c r="G2189">
        <v>75</v>
      </c>
    </row>
    <row r="2190" spans="1:7" ht="14" x14ac:dyDescent="0.3">
      <c r="A2190" t="s">
        <v>2218</v>
      </c>
      <c r="B2190" t="s">
        <v>8</v>
      </c>
      <c r="C2190">
        <v>7</v>
      </c>
      <c r="D2190">
        <v>7</v>
      </c>
      <c r="E2190">
        <v>309.7</v>
      </c>
      <c r="F2190">
        <v>4.43</v>
      </c>
      <c r="G2190">
        <v>100</v>
      </c>
    </row>
    <row r="2191" spans="1:7" ht="14" x14ac:dyDescent="0.3">
      <c r="A2191" t="s">
        <v>2219</v>
      </c>
      <c r="B2191" t="s">
        <v>309</v>
      </c>
      <c r="C2191">
        <v>1</v>
      </c>
      <c r="D2191">
        <v>1</v>
      </c>
      <c r="E2191">
        <v>309.32</v>
      </c>
      <c r="F2191">
        <v>3</v>
      </c>
      <c r="G2191">
        <v>0</v>
      </c>
    </row>
    <row r="2192" spans="1:7" ht="14" x14ac:dyDescent="0.3">
      <c r="A2192" t="s">
        <v>2220</v>
      </c>
      <c r="B2192" t="s">
        <v>8</v>
      </c>
      <c r="C2192">
        <v>3</v>
      </c>
      <c r="D2192">
        <v>3</v>
      </c>
      <c r="E2192">
        <v>306.97000000000003</v>
      </c>
      <c r="F2192">
        <v>4.67</v>
      </c>
      <c r="G2192">
        <v>100</v>
      </c>
    </row>
    <row r="2193" spans="1:7" ht="14" x14ac:dyDescent="0.3">
      <c r="A2193" t="s">
        <v>2221</v>
      </c>
      <c r="B2193" t="s">
        <v>8</v>
      </c>
      <c r="C2193">
        <v>1</v>
      </c>
      <c r="D2193">
        <v>1</v>
      </c>
      <c r="E2193">
        <v>306.2</v>
      </c>
      <c r="F2193">
        <v>5</v>
      </c>
      <c r="G2193">
        <v>100</v>
      </c>
    </row>
    <row r="2194" spans="1:7" ht="14" x14ac:dyDescent="0.3">
      <c r="A2194" t="s">
        <v>2222</v>
      </c>
      <c r="B2194" t="s">
        <v>24</v>
      </c>
      <c r="C2194">
        <v>1</v>
      </c>
      <c r="D2194">
        <v>1</v>
      </c>
      <c r="E2194">
        <v>305.69</v>
      </c>
      <c r="F2194">
        <v>5</v>
      </c>
      <c r="G2194">
        <v>100</v>
      </c>
    </row>
    <row r="2195" spans="1:7" ht="14" x14ac:dyDescent="0.3">
      <c r="A2195" t="s">
        <v>2223</v>
      </c>
      <c r="B2195" t="s">
        <v>8</v>
      </c>
      <c r="C2195">
        <v>4</v>
      </c>
      <c r="D2195">
        <v>4</v>
      </c>
      <c r="E2195">
        <v>305.51</v>
      </c>
      <c r="F2195">
        <v>3.25</v>
      </c>
      <c r="G2195">
        <v>100</v>
      </c>
    </row>
    <row r="2196" spans="1:7" ht="14" x14ac:dyDescent="0.3">
      <c r="A2196" t="s">
        <v>2224</v>
      </c>
      <c r="B2196" t="s">
        <v>32</v>
      </c>
      <c r="C2196">
        <v>3</v>
      </c>
      <c r="D2196">
        <v>3</v>
      </c>
      <c r="E2196">
        <v>304.72000000000003</v>
      </c>
      <c r="F2196">
        <v>4</v>
      </c>
      <c r="G2196">
        <v>100</v>
      </c>
    </row>
    <row r="2197" spans="1:7" ht="14" x14ac:dyDescent="0.3">
      <c r="A2197" t="s">
        <v>2225</v>
      </c>
      <c r="B2197" t="s">
        <v>309</v>
      </c>
      <c r="C2197">
        <v>1</v>
      </c>
      <c r="D2197">
        <v>1</v>
      </c>
      <c r="E2197">
        <v>304.18</v>
      </c>
      <c r="F2197">
        <v>4</v>
      </c>
      <c r="G2197">
        <v>100</v>
      </c>
    </row>
    <row r="2198" spans="1:7" ht="14" x14ac:dyDescent="0.3">
      <c r="A2198" t="s">
        <v>2226</v>
      </c>
      <c r="B2198" t="s">
        <v>8</v>
      </c>
      <c r="C2198">
        <v>2</v>
      </c>
      <c r="D2198">
        <v>2</v>
      </c>
      <c r="E2198">
        <v>304</v>
      </c>
      <c r="F2198">
        <v>3.5</v>
      </c>
      <c r="G2198">
        <v>50</v>
      </c>
    </row>
    <row r="2199" spans="1:7" ht="14" x14ac:dyDescent="0.3">
      <c r="A2199" t="s">
        <v>2227</v>
      </c>
      <c r="B2199" t="s">
        <v>8</v>
      </c>
      <c r="C2199">
        <v>2</v>
      </c>
      <c r="D2199">
        <v>2</v>
      </c>
      <c r="E2199">
        <v>302.36</v>
      </c>
      <c r="F2199">
        <v>4.5</v>
      </c>
      <c r="G2199">
        <v>100</v>
      </c>
    </row>
    <row r="2200" spans="1:7" ht="14" x14ac:dyDescent="0.3">
      <c r="A2200" t="s">
        <v>2228</v>
      </c>
      <c r="B2200" t="s">
        <v>8</v>
      </c>
      <c r="C2200">
        <v>3</v>
      </c>
      <c r="D2200">
        <v>3</v>
      </c>
      <c r="E2200">
        <v>302.06</v>
      </c>
      <c r="F2200">
        <v>2.67</v>
      </c>
      <c r="G2200">
        <v>66.7</v>
      </c>
    </row>
    <row r="2201" spans="1:7" ht="14" x14ac:dyDescent="0.3">
      <c r="A2201" t="s">
        <v>2229</v>
      </c>
      <c r="B2201" t="s">
        <v>87</v>
      </c>
      <c r="C2201">
        <v>4</v>
      </c>
      <c r="D2201">
        <v>4</v>
      </c>
      <c r="E2201">
        <v>299.89</v>
      </c>
      <c r="F2201">
        <v>2.5</v>
      </c>
      <c r="G2201">
        <v>100</v>
      </c>
    </row>
    <row r="2202" spans="1:7" ht="14" x14ac:dyDescent="0.3">
      <c r="A2202" t="s">
        <v>2230</v>
      </c>
      <c r="B2202" t="s">
        <v>8</v>
      </c>
      <c r="C2202">
        <v>6</v>
      </c>
      <c r="D2202">
        <v>6</v>
      </c>
      <c r="E2202">
        <v>299.27999999999997</v>
      </c>
      <c r="F2202">
        <v>4</v>
      </c>
      <c r="G2202">
        <v>83.3</v>
      </c>
    </row>
    <row r="2203" spans="1:7" ht="14" x14ac:dyDescent="0.3">
      <c r="A2203" t="s">
        <v>2231</v>
      </c>
      <c r="B2203" t="s">
        <v>8</v>
      </c>
      <c r="C2203">
        <v>8</v>
      </c>
      <c r="D2203">
        <v>9</v>
      </c>
      <c r="E2203">
        <v>298.45</v>
      </c>
      <c r="F2203">
        <v>3.44</v>
      </c>
      <c r="G2203">
        <v>55.6</v>
      </c>
    </row>
    <row r="2204" spans="1:7" ht="14" x14ac:dyDescent="0.3">
      <c r="A2204" t="s">
        <v>2232</v>
      </c>
      <c r="B2204" t="s">
        <v>8</v>
      </c>
      <c r="C2204">
        <v>2</v>
      </c>
      <c r="D2204">
        <v>2</v>
      </c>
      <c r="E2204">
        <v>298.37</v>
      </c>
      <c r="F2204">
        <v>5</v>
      </c>
      <c r="G2204">
        <v>50</v>
      </c>
    </row>
    <row r="2205" spans="1:7" ht="14" x14ac:dyDescent="0.3">
      <c r="A2205" t="s">
        <v>2233</v>
      </c>
      <c r="B2205" t="s">
        <v>8</v>
      </c>
      <c r="C2205">
        <v>5</v>
      </c>
      <c r="D2205">
        <v>5</v>
      </c>
      <c r="E2205">
        <v>295.45</v>
      </c>
      <c r="F2205">
        <v>4.4000000000000004</v>
      </c>
      <c r="G2205">
        <v>100</v>
      </c>
    </row>
    <row r="2206" spans="1:7" ht="14" x14ac:dyDescent="0.3">
      <c r="A2206" t="s">
        <v>2234</v>
      </c>
      <c r="B2206" t="s">
        <v>8</v>
      </c>
      <c r="C2206">
        <v>2</v>
      </c>
      <c r="D2206">
        <v>2</v>
      </c>
      <c r="E2206">
        <v>294.89999999999998</v>
      </c>
      <c r="F2206">
        <v>4.5</v>
      </c>
      <c r="G2206">
        <v>50</v>
      </c>
    </row>
    <row r="2207" spans="1:7" ht="14" x14ac:dyDescent="0.3">
      <c r="A2207" t="s">
        <v>2235</v>
      </c>
      <c r="B2207" t="s">
        <v>8</v>
      </c>
      <c r="C2207">
        <v>4</v>
      </c>
      <c r="D2207">
        <v>5</v>
      </c>
      <c r="E2207">
        <v>294.8</v>
      </c>
      <c r="F2207">
        <v>3.4</v>
      </c>
      <c r="G2207">
        <v>60</v>
      </c>
    </row>
    <row r="2208" spans="1:7" ht="14" x14ac:dyDescent="0.3">
      <c r="A2208" t="s">
        <v>2236</v>
      </c>
      <c r="B2208" t="s">
        <v>32</v>
      </c>
      <c r="C2208">
        <v>2</v>
      </c>
      <c r="D2208">
        <v>2</v>
      </c>
      <c r="E2208">
        <v>294.7</v>
      </c>
      <c r="F2208">
        <v>2</v>
      </c>
      <c r="G2208">
        <v>100</v>
      </c>
    </row>
    <row r="2209" spans="1:7" ht="14" x14ac:dyDescent="0.3">
      <c r="A2209" t="s">
        <v>2237</v>
      </c>
      <c r="B2209" t="s">
        <v>8</v>
      </c>
      <c r="C2209">
        <v>6</v>
      </c>
      <c r="D2209">
        <v>6</v>
      </c>
      <c r="E2209">
        <v>293.38</v>
      </c>
      <c r="F2209">
        <v>4.33</v>
      </c>
      <c r="G2209">
        <v>83.3</v>
      </c>
    </row>
    <row r="2210" spans="1:7" ht="14" x14ac:dyDescent="0.3">
      <c r="A2210" t="s">
        <v>2238</v>
      </c>
      <c r="B2210" t="s">
        <v>8</v>
      </c>
      <c r="C2210">
        <v>2</v>
      </c>
      <c r="D2210">
        <v>2</v>
      </c>
      <c r="E2210">
        <v>293.26</v>
      </c>
      <c r="F2210">
        <v>5</v>
      </c>
      <c r="G2210">
        <v>100</v>
      </c>
    </row>
    <row r="2211" spans="1:7" ht="14" x14ac:dyDescent="0.3">
      <c r="A2211" t="s">
        <v>2239</v>
      </c>
      <c r="B2211" t="s">
        <v>8</v>
      </c>
      <c r="C2211">
        <v>2</v>
      </c>
      <c r="D2211">
        <v>2</v>
      </c>
      <c r="E2211">
        <v>292.39</v>
      </c>
      <c r="F2211">
        <v>5</v>
      </c>
      <c r="G2211">
        <v>100</v>
      </c>
    </row>
    <row r="2212" spans="1:7" ht="14" x14ac:dyDescent="0.3">
      <c r="A2212" t="s">
        <v>2240</v>
      </c>
      <c r="B2212" t="s">
        <v>8</v>
      </c>
      <c r="C2212">
        <v>3</v>
      </c>
      <c r="D2212">
        <v>3</v>
      </c>
      <c r="E2212">
        <v>291.62</v>
      </c>
      <c r="F2212">
        <v>5</v>
      </c>
      <c r="G2212">
        <v>100</v>
      </c>
    </row>
    <row r="2213" spans="1:7" ht="14" x14ac:dyDescent="0.3">
      <c r="A2213" t="s">
        <v>2241</v>
      </c>
      <c r="B2213" t="s">
        <v>8</v>
      </c>
      <c r="C2213">
        <v>5</v>
      </c>
      <c r="D2213">
        <v>5</v>
      </c>
      <c r="E2213">
        <v>290.95</v>
      </c>
      <c r="F2213">
        <v>4.8</v>
      </c>
      <c r="G2213">
        <v>100</v>
      </c>
    </row>
    <row r="2214" spans="1:7" ht="14" x14ac:dyDescent="0.3">
      <c r="A2214" t="s">
        <v>2242</v>
      </c>
      <c r="B2214" t="s">
        <v>32</v>
      </c>
      <c r="C2214">
        <v>2</v>
      </c>
      <c r="D2214">
        <v>2</v>
      </c>
      <c r="E2214">
        <v>289.8</v>
      </c>
      <c r="F2214">
        <v>4</v>
      </c>
      <c r="G2214">
        <v>100</v>
      </c>
    </row>
    <row r="2215" spans="1:7" ht="14" x14ac:dyDescent="0.3">
      <c r="A2215" t="s">
        <v>2243</v>
      </c>
      <c r="B2215" t="s">
        <v>22</v>
      </c>
      <c r="C2215">
        <v>1</v>
      </c>
      <c r="D2215">
        <v>1</v>
      </c>
      <c r="E2215">
        <v>289.04000000000002</v>
      </c>
      <c r="F2215">
        <v>5</v>
      </c>
      <c r="G2215">
        <v>100</v>
      </c>
    </row>
    <row r="2216" spans="1:7" ht="14" x14ac:dyDescent="0.3">
      <c r="A2216" t="s">
        <v>2244</v>
      </c>
      <c r="B2216" t="s">
        <v>8</v>
      </c>
      <c r="C2216">
        <v>2</v>
      </c>
      <c r="D2216">
        <v>2</v>
      </c>
      <c r="E2216">
        <v>288.63</v>
      </c>
      <c r="F2216">
        <v>3.5</v>
      </c>
      <c r="G2216">
        <v>50</v>
      </c>
    </row>
    <row r="2217" spans="1:7" ht="14" x14ac:dyDescent="0.3">
      <c r="A2217" t="s">
        <v>2245</v>
      </c>
      <c r="B2217" t="s">
        <v>8</v>
      </c>
      <c r="C2217">
        <v>3</v>
      </c>
      <c r="D2217">
        <v>3</v>
      </c>
      <c r="E2217">
        <v>288.01</v>
      </c>
      <c r="F2217">
        <v>3.33</v>
      </c>
      <c r="G2217">
        <v>66.7</v>
      </c>
    </row>
    <row r="2218" spans="1:7" ht="14" x14ac:dyDescent="0.3">
      <c r="A2218" t="s">
        <v>2246</v>
      </c>
      <c r="B2218" t="s">
        <v>24</v>
      </c>
      <c r="C2218">
        <v>3</v>
      </c>
      <c r="D2218">
        <v>3</v>
      </c>
      <c r="E2218">
        <v>287.76</v>
      </c>
      <c r="F2218">
        <v>5</v>
      </c>
      <c r="G2218">
        <v>100</v>
      </c>
    </row>
    <row r="2219" spans="1:7" ht="14" x14ac:dyDescent="0.3">
      <c r="A2219" t="s">
        <v>2247</v>
      </c>
      <c r="B2219" t="s">
        <v>8</v>
      </c>
      <c r="C2219">
        <v>3</v>
      </c>
      <c r="D2219">
        <v>5</v>
      </c>
      <c r="E2219">
        <v>287.55</v>
      </c>
      <c r="F2219">
        <v>5</v>
      </c>
      <c r="G2219">
        <v>100</v>
      </c>
    </row>
    <row r="2220" spans="1:7" ht="14" x14ac:dyDescent="0.3">
      <c r="A2220" t="s">
        <v>2248</v>
      </c>
      <c r="B2220" t="s">
        <v>8</v>
      </c>
      <c r="C2220">
        <v>2</v>
      </c>
      <c r="D2220">
        <v>2</v>
      </c>
      <c r="E2220">
        <v>287.51</v>
      </c>
      <c r="F2220">
        <v>5</v>
      </c>
      <c r="G2220">
        <v>100</v>
      </c>
    </row>
    <row r="2221" spans="1:7" ht="14" x14ac:dyDescent="0.3">
      <c r="A2221" t="s">
        <v>2249</v>
      </c>
      <c r="B2221" t="s">
        <v>8</v>
      </c>
      <c r="C2221">
        <v>8</v>
      </c>
      <c r="D2221">
        <v>8</v>
      </c>
      <c r="E2221">
        <v>284.04000000000002</v>
      </c>
      <c r="F2221">
        <v>4.75</v>
      </c>
      <c r="G2221">
        <v>100</v>
      </c>
    </row>
    <row r="2222" spans="1:7" ht="14" x14ac:dyDescent="0.3">
      <c r="A2222" t="s">
        <v>2250</v>
      </c>
      <c r="B2222" t="s">
        <v>8</v>
      </c>
      <c r="C2222">
        <v>2</v>
      </c>
      <c r="D2222">
        <v>3</v>
      </c>
      <c r="E2222">
        <v>283.74</v>
      </c>
      <c r="F2222">
        <v>1.67</v>
      </c>
      <c r="G2222">
        <v>100</v>
      </c>
    </row>
    <row r="2223" spans="1:7" ht="14" x14ac:dyDescent="0.3">
      <c r="A2223" t="s">
        <v>2251</v>
      </c>
      <c r="B2223" t="s">
        <v>8</v>
      </c>
      <c r="C2223">
        <v>1</v>
      </c>
      <c r="D2223">
        <v>1</v>
      </c>
      <c r="E2223">
        <v>283.73</v>
      </c>
      <c r="F2223">
        <v>5</v>
      </c>
      <c r="G2223">
        <v>100</v>
      </c>
    </row>
    <row r="2224" spans="1:7" ht="14" x14ac:dyDescent="0.3">
      <c r="A2224" t="s">
        <v>2252</v>
      </c>
      <c r="B2224" t="s">
        <v>87</v>
      </c>
      <c r="C2224">
        <v>4</v>
      </c>
      <c r="D2224">
        <v>4</v>
      </c>
      <c r="E2224">
        <v>283.60000000000002</v>
      </c>
      <c r="F2224">
        <v>5</v>
      </c>
      <c r="G2224">
        <v>100</v>
      </c>
    </row>
    <row r="2225" spans="1:7" ht="14" x14ac:dyDescent="0.3">
      <c r="A2225" t="s">
        <v>2253</v>
      </c>
      <c r="B2225" t="s">
        <v>8</v>
      </c>
      <c r="C2225">
        <v>1</v>
      </c>
      <c r="D2225">
        <v>2</v>
      </c>
      <c r="E2225">
        <v>283.06</v>
      </c>
      <c r="F2225">
        <v>5</v>
      </c>
      <c r="G2225">
        <v>100</v>
      </c>
    </row>
    <row r="2226" spans="1:7" ht="14" x14ac:dyDescent="0.3">
      <c r="A2226" t="s">
        <v>2254</v>
      </c>
      <c r="B2226" t="s">
        <v>8</v>
      </c>
      <c r="C2226">
        <v>6</v>
      </c>
      <c r="D2226">
        <v>6</v>
      </c>
      <c r="E2226">
        <v>282.83</v>
      </c>
      <c r="F2226">
        <v>4.5</v>
      </c>
      <c r="G2226">
        <v>100</v>
      </c>
    </row>
    <row r="2227" spans="1:7" ht="14" x14ac:dyDescent="0.3">
      <c r="A2227" t="s">
        <v>2255</v>
      </c>
      <c r="B2227" t="s">
        <v>8</v>
      </c>
      <c r="C2227">
        <v>1</v>
      </c>
      <c r="D2227">
        <v>1</v>
      </c>
      <c r="E2227">
        <v>282.47000000000003</v>
      </c>
      <c r="F2227">
        <v>5</v>
      </c>
      <c r="G2227">
        <v>100</v>
      </c>
    </row>
    <row r="2228" spans="1:7" ht="14" x14ac:dyDescent="0.3">
      <c r="A2228" t="s">
        <v>2256</v>
      </c>
      <c r="B2228" t="s">
        <v>8</v>
      </c>
      <c r="C2228">
        <v>3</v>
      </c>
      <c r="D2228">
        <v>3</v>
      </c>
      <c r="E2228">
        <v>282.22000000000003</v>
      </c>
      <c r="F2228">
        <v>3.67</v>
      </c>
      <c r="G2228">
        <v>66.7</v>
      </c>
    </row>
    <row r="2229" spans="1:7" ht="14" x14ac:dyDescent="0.3">
      <c r="A2229" t="s">
        <v>2257</v>
      </c>
      <c r="B2229" t="s">
        <v>8</v>
      </c>
      <c r="C2229">
        <v>8</v>
      </c>
      <c r="D2229">
        <v>10</v>
      </c>
      <c r="E2229">
        <v>281.37</v>
      </c>
      <c r="F2229">
        <v>4.9000000000000004</v>
      </c>
      <c r="G2229">
        <v>90</v>
      </c>
    </row>
    <row r="2230" spans="1:7" ht="14" x14ac:dyDescent="0.3">
      <c r="A2230" t="s">
        <v>2258</v>
      </c>
      <c r="B2230" t="s">
        <v>8</v>
      </c>
      <c r="C2230">
        <v>1</v>
      </c>
      <c r="D2230">
        <v>1</v>
      </c>
      <c r="E2230">
        <v>280.91000000000003</v>
      </c>
      <c r="F2230">
        <v>1</v>
      </c>
      <c r="G2230">
        <v>0</v>
      </c>
    </row>
    <row r="2231" spans="1:7" ht="14" x14ac:dyDescent="0.3">
      <c r="A2231" t="s">
        <v>2259</v>
      </c>
      <c r="B2231" t="s">
        <v>8</v>
      </c>
      <c r="C2231">
        <v>4</v>
      </c>
      <c r="D2231">
        <v>6</v>
      </c>
      <c r="E2231">
        <v>280.27</v>
      </c>
      <c r="F2231">
        <v>4.83</v>
      </c>
      <c r="G2231">
        <v>100</v>
      </c>
    </row>
    <row r="2232" spans="1:7" ht="14" x14ac:dyDescent="0.3">
      <c r="A2232" t="s">
        <v>2260</v>
      </c>
      <c r="B2232" t="s">
        <v>8</v>
      </c>
      <c r="C2232">
        <v>6</v>
      </c>
      <c r="D2232">
        <v>7</v>
      </c>
      <c r="E2232">
        <v>279.39</v>
      </c>
      <c r="F2232">
        <v>5</v>
      </c>
      <c r="G2232">
        <v>100</v>
      </c>
    </row>
    <row r="2233" spans="1:7" ht="14" x14ac:dyDescent="0.3">
      <c r="A2233" t="s">
        <v>2261</v>
      </c>
      <c r="B2233" t="s">
        <v>42</v>
      </c>
      <c r="C2233">
        <v>1</v>
      </c>
      <c r="D2233">
        <v>1</v>
      </c>
      <c r="E2233">
        <v>278.91000000000003</v>
      </c>
      <c r="F2233">
        <v>5</v>
      </c>
      <c r="G2233">
        <v>100</v>
      </c>
    </row>
    <row r="2234" spans="1:7" ht="14" x14ac:dyDescent="0.3">
      <c r="A2234" t="s">
        <v>2262</v>
      </c>
      <c r="B2234" t="s">
        <v>22</v>
      </c>
      <c r="C2234">
        <v>6</v>
      </c>
      <c r="D2234">
        <v>7</v>
      </c>
      <c r="E2234">
        <v>278.22000000000003</v>
      </c>
      <c r="F2234">
        <v>4.1399999999999997</v>
      </c>
      <c r="G2234">
        <v>100</v>
      </c>
    </row>
    <row r="2235" spans="1:7" ht="14" x14ac:dyDescent="0.3">
      <c r="A2235" t="s">
        <v>2263</v>
      </c>
      <c r="B2235" t="s">
        <v>8</v>
      </c>
      <c r="C2235">
        <v>2</v>
      </c>
      <c r="D2235">
        <v>2</v>
      </c>
      <c r="E2235">
        <v>278.14</v>
      </c>
      <c r="F2235">
        <v>5</v>
      </c>
      <c r="G2235">
        <v>100</v>
      </c>
    </row>
    <row r="2236" spans="1:7" ht="14" x14ac:dyDescent="0.3">
      <c r="A2236" t="s">
        <v>2264</v>
      </c>
      <c r="B2236" t="s">
        <v>24</v>
      </c>
      <c r="C2236">
        <v>3</v>
      </c>
      <c r="D2236">
        <v>4</v>
      </c>
      <c r="E2236">
        <v>277.95999999999998</v>
      </c>
      <c r="F2236">
        <v>4.75</v>
      </c>
      <c r="G2236">
        <v>100</v>
      </c>
    </row>
    <row r="2237" spans="1:7" ht="14" x14ac:dyDescent="0.3">
      <c r="A2237" t="s">
        <v>2265</v>
      </c>
      <c r="B2237" t="s">
        <v>8</v>
      </c>
      <c r="C2237">
        <v>1</v>
      </c>
      <c r="D2237">
        <v>2</v>
      </c>
      <c r="E2237">
        <v>277.68</v>
      </c>
      <c r="F2237">
        <v>5</v>
      </c>
      <c r="G2237">
        <v>100</v>
      </c>
    </row>
    <row r="2238" spans="1:7" ht="14" x14ac:dyDescent="0.3">
      <c r="A2238" t="s">
        <v>2266</v>
      </c>
      <c r="B2238" t="s">
        <v>87</v>
      </c>
      <c r="C2238">
        <v>3</v>
      </c>
      <c r="D2238">
        <v>5</v>
      </c>
      <c r="E2238">
        <v>277.52</v>
      </c>
      <c r="F2238">
        <v>3.2</v>
      </c>
      <c r="G2238">
        <v>100</v>
      </c>
    </row>
    <row r="2239" spans="1:7" ht="14" x14ac:dyDescent="0.3">
      <c r="A2239" t="s">
        <v>2267</v>
      </c>
      <c r="B2239" t="s">
        <v>152</v>
      </c>
      <c r="C2239">
        <v>3</v>
      </c>
      <c r="D2239">
        <v>3</v>
      </c>
      <c r="E2239">
        <v>277.32</v>
      </c>
      <c r="F2239">
        <v>5</v>
      </c>
      <c r="G2239">
        <v>100</v>
      </c>
    </row>
    <row r="2240" spans="1:7" ht="14" x14ac:dyDescent="0.3">
      <c r="A2240" t="s">
        <v>2268</v>
      </c>
      <c r="B2240" t="s">
        <v>8</v>
      </c>
      <c r="C2240">
        <v>2</v>
      </c>
      <c r="D2240">
        <v>2</v>
      </c>
      <c r="E2240">
        <v>277.22000000000003</v>
      </c>
      <c r="F2240">
        <v>4.5</v>
      </c>
      <c r="G2240">
        <v>100</v>
      </c>
    </row>
    <row r="2241" spans="1:7" ht="14" x14ac:dyDescent="0.3">
      <c r="A2241" t="s">
        <v>2269</v>
      </c>
      <c r="B2241" t="s">
        <v>24</v>
      </c>
      <c r="C2241">
        <v>3</v>
      </c>
      <c r="D2241">
        <v>3</v>
      </c>
      <c r="E2241">
        <v>276.82</v>
      </c>
      <c r="F2241">
        <v>4.67</v>
      </c>
      <c r="G2241">
        <v>100</v>
      </c>
    </row>
    <row r="2242" spans="1:7" ht="14" x14ac:dyDescent="0.3">
      <c r="A2242" s="1" t="s">
        <v>2270</v>
      </c>
      <c r="B2242" t="s">
        <v>8</v>
      </c>
      <c r="C2242">
        <v>5</v>
      </c>
      <c r="D2242">
        <v>8</v>
      </c>
      <c r="E2242">
        <v>275.39</v>
      </c>
      <c r="F2242">
        <v>4.13</v>
      </c>
      <c r="G2242">
        <v>75</v>
      </c>
    </row>
    <row r="2243" spans="1:7" ht="14" x14ac:dyDescent="0.3">
      <c r="A2243" t="s">
        <v>2271</v>
      </c>
      <c r="B2243" t="s">
        <v>87</v>
      </c>
      <c r="C2243">
        <v>2</v>
      </c>
      <c r="D2243">
        <v>2</v>
      </c>
      <c r="E2243">
        <v>274.86</v>
      </c>
      <c r="F2243">
        <v>4.5</v>
      </c>
      <c r="G2243">
        <v>100</v>
      </c>
    </row>
    <row r="2244" spans="1:7" ht="14" x14ac:dyDescent="0.3">
      <c r="A2244" t="s">
        <v>2272</v>
      </c>
      <c r="B2244" t="s">
        <v>309</v>
      </c>
      <c r="C2244">
        <v>1</v>
      </c>
      <c r="D2244">
        <v>2</v>
      </c>
      <c r="E2244">
        <v>273.22000000000003</v>
      </c>
      <c r="F2244">
        <v>4</v>
      </c>
      <c r="G2244">
        <v>100</v>
      </c>
    </row>
    <row r="2245" spans="1:7" ht="14" x14ac:dyDescent="0.3">
      <c r="A2245" t="s">
        <v>2273</v>
      </c>
      <c r="B2245" t="s">
        <v>32</v>
      </c>
      <c r="C2245">
        <v>4</v>
      </c>
      <c r="D2245">
        <v>4</v>
      </c>
      <c r="E2245">
        <v>272.76</v>
      </c>
      <c r="F2245">
        <v>5</v>
      </c>
      <c r="G2245">
        <v>100</v>
      </c>
    </row>
    <row r="2246" spans="1:7" ht="14" x14ac:dyDescent="0.3">
      <c r="A2246" t="s">
        <v>2274</v>
      </c>
      <c r="B2246" t="s">
        <v>42</v>
      </c>
      <c r="C2246">
        <v>4</v>
      </c>
      <c r="D2246">
        <v>5</v>
      </c>
      <c r="E2246">
        <v>272.33</v>
      </c>
      <c r="F2246">
        <v>3.8</v>
      </c>
      <c r="G2246">
        <v>100</v>
      </c>
    </row>
    <row r="2247" spans="1:7" ht="14" x14ac:dyDescent="0.3">
      <c r="A2247" t="s">
        <v>2275</v>
      </c>
      <c r="B2247" t="s">
        <v>8</v>
      </c>
      <c r="C2247">
        <v>3</v>
      </c>
      <c r="D2247">
        <v>3</v>
      </c>
      <c r="E2247">
        <v>270.49</v>
      </c>
      <c r="F2247">
        <v>3.67</v>
      </c>
      <c r="G2247">
        <v>100</v>
      </c>
    </row>
    <row r="2248" spans="1:7" ht="14" x14ac:dyDescent="0.3">
      <c r="A2248" t="s">
        <v>2276</v>
      </c>
      <c r="B2248" t="s">
        <v>8</v>
      </c>
      <c r="C2248">
        <v>3</v>
      </c>
      <c r="D2248">
        <v>3</v>
      </c>
      <c r="E2248">
        <v>270.36</v>
      </c>
      <c r="F2248">
        <v>5</v>
      </c>
      <c r="G2248">
        <v>100</v>
      </c>
    </row>
    <row r="2249" spans="1:7" ht="14" x14ac:dyDescent="0.3">
      <c r="A2249" t="s">
        <v>2277</v>
      </c>
      <c r="B2249" t="s">
        <v>8</v>
      </c>
      <c r="C2249">
        <v>5</v>
      </c>
      <c r="D2249">
        <v>5</v>
      </c>
      <c r="E2249">
        <v>269.91000000000003</v>
      </c>
      <c r="F2249">
        <v>4.8</v>
      </c>
      <c r="G2249">
        <v>100</v>
      </c>
    </row>
    <row r="2250" spans="1:7" ht="14" x14ac:dyDescent="0.3">
      <c r="A2250" t="s">
        <v>2278</v>
      </c>
      <c r="B2250" t="s">
        <v>42</v>
      </c>
      <c r="C2250">
        <v>4</v>
      </c>
      <c r="D2250">
        <v>4</v>
      </c>
      <c r="E2250">
        <v>269.56</v>
      </c>
      <c r="F2250">
        <v>4.5</v>
      </c>
      <c r="G2250">
        <v>100</v>
      </c>
    </row>
    <row r="2251" spans="1:7" ht="14" x14ac:dyDescent="0.3">
      <c r="A2251" s="1" t="s">
        <v>2279</v>
      </c>
      <c r="B2251" t="s">
        <v>8</v>
      </c>
      <c r="C2251">
        <v>9</v>
      </c>
      <c r="D2251">
        <v>10</v>
      </c>
      <c r="E2251">
        <v>268.37</v>
      </c>
      <c r="F2251">
        <v>4.4000000000000004</v>
      </c>
      <c r="G2251">
        <v>100</v>
      </c>
    </row>
    <row r="2252" spans="1:7" ht="14" x14ac:dyDescent="0.3">
      <c r="A2252" t="s">
        <v>2280</v>
      </c>
      <c r="B2252" t="s">
        <v>8</v>
      </c>
      <c r="C2252">
        <v>3</v>
      </c>
      <c r="D2252">
        <v>3</v>
      </c>
      <c r="E2252">
        <v>267.39</v>
      </c>
      <c r="F2252">
        <v>4.33</v>
      </c>
      <c r="G2252">
        <v>100</v>
      </c>
    </row>
    <row r="2253" spans="1:7" ht="14" x14ac:dyDescent="0.3">
      <c r="A2253" t="s">
        <v>2281</v>
      </c>
      <c r="B2253" t="s">
        <v>87</v>
      </c>
      <c r="C2253">
        <v>1</v>
      </c>
      <c r="D2253">
        <v>1</v>
      </c>
      <c r="E2253">
        <v>266.11</v>
      </c>
      <c r="F2253">
        <v>4</v>
      </c>
      <c r="G2253">
        <v>100</v>
      </c>
    </row>
    <row r="2254" spans="1:7" ht="14" x14ac:dyDescent="0.3">
      <c r="A2254" t="s">
        <v>2282</v>
      </c>
      <c r="B2254" t="s">
        <v>22</v>
      </c>
      <c r="C2254">
        <v>4</v>
      </c>
      <c r="D2254">
        <v>4</v>
      </c>
      <c r="E2254">
        <v>265.52999999999997</v>
      </c>
      <c r="F2254">
        <v>5</v>
      </c>
      <c r="G2254">
        <v>100</v>
      </c>
    </row>
    <row r="2255" spans="1:7" ht="14" x14ac:dyDescent="0.3">
      <c r="A2255" t="s">
        <v>2283</v>
      </c>
      <c r="B2255" t="s">
        <v>8</v>
      </c>
      <c r="C2255">
        <v>2</v>
      </c>
      <c r="D2255">
        <v>2</v>
      </c>
      <c r="E2255">
        <v>265.51</v>
      </c>
      <c r="F2255">
        <v>3</v>
      </c>
      <c r="G2255">
        <v>100</v>
      </c>
    </row>
    <row r="2256" spans="1:7" ht="14" x14ac:dyDescent="0.3">
      <c r="A2256" t="s">
        <v>2284</v>
      </c>
      <c r="B2256" t="s">
        <v>8</v>
      </c>
      <c r="C2256">
        <v>4</v>
      </c>
      <c r="D2256">
        <v>4</v>
      </c>
      <c r="E2256">
        <v>264.99</v>
      </c>
      <c r="F2256">
        <v>5</v>
      </c>
      <c r="G2256">
        <v>100</v>
      </c>
    </row>
    <row r="2257" spans="1:7" ht="14" x14ac:dyDescent="0.3">
      <c r="A2257" t="s">
        <v>2285</v>
      </c>
      <c r="B2257" t="s">
        <v>8</v>
      </c>
      <c r="C2257">
        <v>2</v>
      </c>
      <c r="D2257">
        <v>3</v>
      </c>
      <c r="E2257">
        <v>264.43</v>
      </c>
      <c r="F2257">
        <v>5</v>
      </c>
      <c r="G2257">
        <v>100</v>
      </c>
    </row>
    <row r="2258" spans="1:7" ht="14" x14ac:dyDescent="0.3">
      <c r="A2258" t="s">
        <v>2286</v>
      </c>
      <c r="B2258" t="s">
        <v>152</v>
      </c>
      <c r="C2258">
        <v>1</v>
      </c>
      <c r="D2258">
        <v>2</v>
      </c>
      <c r="E2258">
        <v>264.24</v>
      </c>
      <c r="F2258">
        <v>1</v>
      </c>
      <c r="G2258">
        <v>0</v>
      </c>
    </row>
    <row r="2259" spans="1:7" ht="14" x14ac:dyDescent="0.3">
      <c r="A2259" t="s">
        <v>2287</v>
      </c>
      <c r="B2259" t="s">
        <v>42</v>
      </c>
      <c r="C2259">
        <v>2</v>
      </c>
      <c r="D2259">
        <v>2</v>
      </c>
      <c r="E2259">
        <v>262.77999999999997</v>
      </c>
      <c r="F2259">
        <v>5</v>
      </c>
      <c r="G2259">
        <v>100</v>
      </c>
    </row>
    <row r="2260" spans="1:7" ht="14" x14ac:dyDescent="0.3">
      <c r="A2260" t="s">
        <v>2288</v>
      </c>
      <c r="B2260" t="s">
        <v>22</v>
      </c>
      <c r="C2260">
        <v>1</v>
      </c>
      <c r="D2260">
        <v>1</v>
      </c>
      <c r="E2260">
        <v>262.10000000000002</v>
      </c>
      <c r="F2260">
        <v>4</v>
      </c>
      <c r="G2260">
        <v>0</v>
      </c>
    </row>
    <row r="2261" spans="1:7" ht="14" x14ac:dyDescent="0.3">
      <c r="A2261" t="s">
        <v>2289</v>
      </c>
      <c r="B2261" t="s">
        <v>22</v>
      </c>
      <c r="C2261">
        <v>2</v>
      </c>
      <c r="D2261">
        <v>2</v>
      </c>
      <c r="E2261">
        <v>261.05</v>
      </c>
      <c r="F2261">
        <v>5</v>
      </c>
      <c r="G2261">
        <v>100</v>
      </c>
    </row>
    <row r="2262" spans="1:7" ht="14" x14ac:dyDescent="0.3">
      <c r="A2262" t="s">
        <v>2290</v>
      </c>
      <c r="B2262" t="s">
        <v>8</v>
      </c>
      <c r="C2262">
        <v>5</v>
      </c>
      <c r="D2262">
        <v>5</v>
      </c>
      <c r="E2262">
        <v>260.87</v>
      </c>
      <c r="F2262">
        <v>5</v>
      </c>
      <c r="G2262">
        <v>100</v>
      </c>
    </row>
    <row r="2263" spans="1:7" ht="14" x14ac:dyDescent="0.3">
      <c r="A2263" t="s">
        <v>2291</v>
      </c>
      <c r="B2263" t="s">
        <v>32</v>
      </c>
      <c r="C2263">
        <v>2</v>
      </c>
      <c r="D2263">
        <v>2</v>
      </c>
      <c r="E2263">
        <v>258.87</v>
      </c>
      <c r="F2263">
        <v>3</v>
      </c>
      <c r="G2263">
        <v>100</v>
      </c>
    </row>
    <row r="2264" spans="1:7" ht="14" x14ac:dyDescent="0.3">
      <c r="A2264" t="s">
        <v>2292</v>
      </c>
      <c r="B2264" t="s">
        <v>8</v>
      </c>
      <c r="C2264">
        <v>6</v>
      </c>
      <c r="D2264">
        <v>6</v>
      </c>
      <c r="E2264">
        <v>258.7</v>
      </c>
      <c r="F2264">
        <v>4</v>
      </c>
      <c r="G2264">
        <v>83.3</v>
      </c>
    </row>
    <row r="2265" spans="1:7" ht="14" x14ac:dyDescent="0.3">
      <c r="A2265" t="s">
        <v>2293</v>
      </c>
      <c r="B2265" t="s">
        <v>8</v>
      </c>
      <c r="C2265">
        <v>2</v>
      </c>
      <c r="D2265">
        <v>3</v>
      </c>
      <c r="E2265">
        <v>258.54000000000002</v>
      </c>
      <c r="F2265">
        <v>4.33</v>
      </c>
      <c r="G2265">
        <v>100</v>
      </c>
    </row>
    <row r="2266" spans="1:7" ht="14" x14ac:dyDescent="0.3">
      <c r="A2266" t="s">
        <v>2294</v>
      </c>
      <c r="B2266" t="s">
        <v>24</v>
      </c>
      <c r="C2266">
        <v>2</v>
      </c>
      <c r="D2266">
        <v>2</v>
      </c>
      <c r="E2266">
        <v>257.45999999999998</v>
      </c>
      <c r="F2266">
        <v>4.5</v>
      </c>
      <c r="G2266">
        <v>100</v>
      </c>
    </row>
    <row r="2267" spans="1:7" ht="14" x14ac:dyDescent="0.3">
      <c r="A2267" t="s">
        <v>2295</v>
      </c>
      <c r="B2267" t="s">
        <v>8</v>
      </c>
      <c r="C2267">
        <v>3</v>
      </c>
      <c r="D2267">
        <v>9</v>
      </c>
      <c r="E2267">
        <v>257.32</v>
      </c>
      <c r="F2267">
        <v>5</v>
      </c>
      <c r="G2267">
        <v>100</v>
      </c>
    </row>
    <row r="2268" spans="1:7" ht="14" x14ac:dyDescent="0.3">
      <c r="A2268" t="s">
        <v>2296</v>
      </c>
      <c r="B2268" t="s">
        <v>42</v>
      </c>
      <c r="C2268">
        <v>2</v>
      </c>
      <c r="D2268">
        <v>2</v>
      </c>
      <c r="E2268">
        <v>255.59</v>
      </c>
      <c r="F2268">
        <v>4.5</v>
      </c>
      <c r="G2268">
        <v>100</v>
      </c>
    </row>
    <row r="2269" spans="1:7" ht="14" x14ac:dyDescent="0.3">
      <c r="A2269" t="s">
        <v>2297</v>
      </c>
      <c r="B2269" t="s">
        <v>42</v>
      </c>
      <c r="C2269">
        <v>2</v>
      </c>
      <c r="D2269">
        <v>2</v>
      </c>
      <c r="E2269">
        <v>254.98</v>
      </c>
      <c r="F2269">
        <v>5</v>
      </c>
      <c r="G2269">
        <v>100</v>
      </c>
    </row>
    <row r="2270" spans="1:7" ht="14" x14ac:dyDescent="0.3">
      <c r="A2270" t="s">
        <v>2298</v>
      </c>
      <c r="B2270" t="s">
        <v>8</v>
      </c>
      <c r="C2270">
        <v>3</v>
      </c>
      <c r="D2270">
        <v>6</v>
      </c>
      <c r="E2270">
        <v>254.72</v>
      </c>
      <c r="F2270">
        <v>5</v>
      </c>
      <c r="G2270">
        <v>100</v>
      </c>
    </row>
    <row r="2271" spans="1:7" ht="14" x14ac:dyDescent="0.3">
      <c r="A2271" t="s">
        <v>2299</v>
      </c>
      <c r="B2271" t="s">
        <v>32</v>
      </c>
      <c r="C2271">
        <v>1</v>
      </c>
      <c r="D2271">
        <v>1</v>
      </c>
      <c r="E2271">
        <v>254.01</v>
      </c>
      <c r="F2271">
        <v>1</v>
      </c>
      <c r="G2271">
        <v>0</v>
      </c>
    </row>
    <row r="2272" spans="1:7" ht="14" x14ac:dyDescent="0.3">
      <c r="A2272" t="s">
        <v>2300</v>
      </c>
      <c r="B2272" t="s">
        <v>8</v>
      </c>
      <c r="C2272">
        <v>2</v>
      </c>
      <c r="D2272">
        <v>5</v>
      </c>
      <c r="E2272">
        <v>253.19</v>
      </c>
      <c r="F2272">
        <v>2.6</v>
      </c>
      <c r="G2272">
        <v>80</v>
      </c>
    </row>
    <row r="2273" spans="1:7" ht="14" x14ac:dyDescent="0.3">
      <c r="A2273" t="s">
        <v>2301</v>
      </c>
      <c r="B2273" t="s">
        <v>8</v>
      </c>
      <c r="C2273">
        <v>1</v>
      </c>
      <c r="D2273">
        <v>1</v>
      </c>
      <c r="E2273">
        <v>253.08</v>
      </c>
      <c r="F2273">
        <v>5</v>
      </c>
      <c r="G2273">
        <v>100</v>
      </c>
    </row>
    <row r="2274" spans="1:7" ht="14" x14ac:dyDescent="0.3">
      <c r="A2274" t="s">
        <v>2302</v>
      </c>
      <c r="B2274" t="s">
        <v>8</v>
      </c>
      <c r="C2274">
        <v>3</v>
      </c>
      <c r="D2274">
        <v>8</v>
      </c>
      <c r="E2274">
        <v>252.77</v>
      </c>
      <c r="F2274">
        <v>1</v>
      </c>
      <c r="G2274">
        <v>12.5</v>
      </c>
    </row>
    <row r="2275" spans="1:7" ht="14" x14ac:dyDescent="0.3">
      <c r="A2275" t="s">
        <v>2303</v>
      </c>
      <c r="B2275" t="s">
        <v>8</v>
      </c>
      <c r="C2275">
        <v>1</v>
      </c>
      <c r="D2275">
        <v>1</v>
      </c>
      <c r="E2275">
        <v>252.35</v>
      </c>
      <c r="F2275">
        <v>5</v>
      </c>
      <c r="G2275">
        <v>100</v>
      </c>
    </row>
    <row r="2276" spans="1:7" ht="14" x14ac:dyDescent="0.3">
      <c r="A2276" t="s">
        <v>2304</v>
      </c>
      <c r="B2276" t="s">
        <v>32</v>
      </c>
      <c r="C2276">
        <v>3</v>
      </c>
      <c r="D2276">
        <v>3</v>
      </c>
      <c r="E2276">
        <v>251.92</v>
      </c>
      <c r="F2276">
        <v>5</v>
      </c>
      <c r="G2276">
        <v>100</v>
      </c>
    </row>
    <row r="2277" spans="1:7" ht="14" x14ac:dyDescent="0.3">
      <c r="A2277" t="s">
        <v>2305</v>
      </c>
      <c r="B2277" t="s">
        <v>8</v>
      </c>
      <c r="C2277">
        <v>1</v>
      </c>
      <c r="D2277">
        <v>1</v>
      </c>
      <c r="E2277">
        <v>251.83</v>
      </c>
      <c r="F2277">
        <v>5</v>
      </c>
      <c r="G2277">
        <v>100</v>
      </c>
    </row>
    <row r="2278" spans="1:7" ht="14" x14ac:dyDescent="0.3">
      <c r="A2278" t="s">
        <v>2306</v>
      </c>
      <c r="B2278" t="s">
        <v>32</v>
      </c>
      <c r="C2278">
        <v>2</v>
      </c>
      <c r="D2278">
        <v>2</v>
      </c>
      <c r="E2278">
        <v>251.49</v>
      </c>
      <c r="F2278">
        <v>4</v>
      </c>
      <c r="G2278">
        <v>100</v>
      </c>
    </row>
    <row r="2279" spans="1:7" ht="14" x14ac:dyDescent="0.3">
      <c r="A2279" t="s">
        <v>2307</v>
      </c>
      <c r="B2279" t="s">
        <v>8</v>
      </c>
      <c r="C2279">
        <v>2</v>
      </c>
      <c r="D2279">
        <v>2</v>
      </c>
      <c r="E2279">
        <v>250.89</v>
      </c>
      <c r="F2279">
        <v>4.5</v>
      </c>
      <c r="G2279">
        <v>100</v>
      </c>
    </row>
    <row r="2280" spans="1:7" ht="14" x14ac:dyDescent="0.3">
      <c r="A2280" t="s">
        <v>2308</v>
      </c>
      <c r="B2280" t="s">
        <v>22</v>
      </c>
      <c r="C2280">
        <v>1</v>
      </c>
      <c r="D2280">
        <v>1</v>
      </c>
      <c r="E2280">
        <v>250.88</v>
      </c>
      <c r="F2280">
        <v>5</v>
      </c>
      <c r="G2280">
        <v>100</v>
      </c>
    </row>
    <row r="2281" spans="1:7" ht="14" x14ac:dyDescent="0.3">
      <c r="A2281" t="s">
        <v>2309</v>
      </c>
      <c r="B2281" t="s">
        <v>42</v>
      </c>
      <c r="C2281">
        <v>3</v>
      </c>
      <c r="D2281">
        <v>3</v>
      </c>
      <c r="E2281">
        <v>250.41</v>
      </c>
      <c r="F2281">
        <v>5</v>
      </c>
      <c r="G2281">
        <v>100</v>
      </c>
    </row>
    <row r="2282" spans="1:7" ht="14" x14ac:dyDescent="0.3">
      <c r="A2282" t="s">
        <v>2310</v>
      </c>
      <c r="B2282" t="s">
        <v>32</v>
      </c>
      <c r="C2282">
        <v>3</v>
      </c>
      <c r="D2282">
        <v>3</v>
      </c>
      <c r="E2282">
        <v>249.98</v>
      </c>
      <c r="F2282">
        <v>4.67</v>
      </c>
      <c r="G2282">
        <v>100</v>
      </c>
    </row>
    <row r="2283" spans="1:7" ht="14" x14ac:dyDescent="0.3">
      <c r="A2283" t="s">
        <v>2311</v>
      </c>
      <c r="B2283" t="s">
        <v>8</v>
      </c>
      <c r="C2283">
        <v>1</v>
      </c>
      <c r="D2283">
        <v>1</v>
      </c>
      <c r="E2283">
        <v>249.39</v>
      </c>
      <c r="F2283">
        <v>5</v>
      </c>
      <c r="G2283">
        <v>100</v>
      </c>
    </row>
    <row r="2284" spans="1:7" ht="14" x14ac:dyDescent="0.3">
      <c r="A2284" t="s">
        <v>2312</v>
      </c>
      <c r="B2284" t="s">
        <v>8</v>
      </c>
      <c r="C2284">
        <v>1</v>
      </c>
      <c r="D2284">
        <v>1</v>
      </c>
      <c r="E2284">
        <v>249.08</v>
      </c>
      <c r="F2284">
        <v>5</v>
      </c>
      <c r="G2284">
        <v>100</v>
      </c>
    </row>
    <row r="2285" spans="1:7" ht="14" x14ac:dyDescent="0.3">
      <c r="A2285" t="s">
        <v>2313</v>
      </c>
      <c r="B2285" t="s">
        <v>8</v>
      </c>
      <c r="C2285">
        <v>2</v>
      </c>
      <c r="D2285">
        <v>2</v>
      </c>
      <c r="E2285">
        <v>249.06</v>
      </c>
      <c r="F2285">
        <v>4.5</v>
      </c>
      <c r="G2285">
        <v>100</v>
      </c>
    </row>
    <row r="2286" spans="1:7" ht="14" x14ac:dyDescent="0.3">
      <c r="A2286" t="s">
        <v>2314</v>
      </c>
      <c r="B2286" t="s">
        <v>32</v>
      </c>
      <c r="C2286">
        <v>4</v>
      </c>
      <c r="D2286">
        <v>4</v>
      </c>
      <c r="E2286">
        <v>248.64</v>
      </c>
      <c r="F2286">
        <v>4.5</v>
      </c>
      <c r="G2286">
        <v>100</v>
      </c>
    </row>
    <row r="2287" spans="1:7" ht="14" x14ac:dyDescent="0.3">
      <c r="A2287" t="s">
        <v>2315</v>
      </c>
      <c r="B2287" t="s">
        <v>777</v>
      </c>
      <c r="C2287">
        <v>2</v>
      </c>
      <c r="D2287">
        <v>2</v>
      </c>
      <c r="E2287">
        <v>248.42</v>
      </c>
      <c r="F2287">
        <v>4</v>
      </c>
      <c r="G2287">
        <v>100</v>
      </c>
    </row>
    <row r="2288" spans="1:7" ht="14" x14ac:dyDescent="0.3">
      <c r="A2288" t="s">
        <v>2316</v>
      </c>
      <c r="B2288" t="s">
        <v>8</v>
      </c>
      <c r="C2288">
        <v>4</v>
      </c>
      <c r="D2288">
        <v>4</v>
      </c>
      <c r="E2288">
        <v>247.89</v>
      </c>
      <c r="F2288">
        <v>5</v>
      </c>
      <c r="G2288">
        <v>100</v>
      </c>
    </row>
    <row r="2289" spans="1:7" ht="14" x14ac:dyDescent="0.3">
      <c r="A2289" t="s">
        <v>2317</v>
      </c>
      <c r="B2289" t="s">
        <v>8</v>
      </c>
      <c r="C2289">
        <v>6</v>
      </c>
      <c r="D2289">
        <v>6</v>
      </c>
      <c r="E2289">
        <v>247.86</v>
      </c>
      <c r="F2289">
        <v>4</v>
      </c>
      <c r="G2289">
        <v>83.3</v>
      </c>
    </row>
    <row r="2290" spans="1:7" ht="14" x14ac:dyDescent="0.3">
      <c r="A2290" t="s">
        <v>2318</v>
      </c>
      <c r="B2290" t="s">
        <v>8</v>
      </c>
      <c r="C2290">
        <v>3</v>
      </c>
      <c r="D2290">
        <v>5</v>
      </c>
      <c r="E2290">
        <v>247.05</v>
      </c>
      <c r="F2290">
        <v>4.2</v>
      </c>
      <c r="G2290">
        <v>100</v>
      </c>
    </row>
    <row r="2291" spans="1:7" ht="14" x14ac:dyDescent="0.3">
      <c r="A2291" t="s">
        <v>2319</v>
      </c>
      <c r="B2291" t="s">
        <v>42</v>
      </c>
      <c r="C2291">
        <v>2</v>
      </c>
      <c r="D2291">
        <v>2</v>
      </c>
      <c r="E2291">
        <v>246.65</v>
      </c>
      <c r="F2291">
        <v>4.5</v>
      </c>
      <c r="G2291">
        <v>100</v>
      </c>
    </row>
    <row r="2292" spans="1:7" ht="14" x14ac:dyDescent="0.3">
      <c r="A2292" t="s">
        <v>2320</v>
      </c>
      <c r="B2292" t="s">
        <v>8</v>
      </c>
      <c r="C2292">
        <v>3</v>
      </c>
      <c r="D2292">
        <v>3</v>
      </c>
      <c r="E2292">
        <v>246.6</v>
      </c>
      <c r="F2292">
        <v>3</v>
      </c>
      <c r="G2292">
        <v>66.7</v>
      </c>
    </row>
    <row r="2293" spans="1:7" ht="14" x14ac:dyDescent="0.3">
      <c r="A2293" t="s">
        <v>2321</v>
      </c>
      <c r="B2293" t="s">
        <v>8</v>
      </c>
      <c r="C2293">
        <v>3</v>
      </c>
      <c r="D2293">
        <v>3</v>
      </c>
      <c r="E2293">
        <v>246.22</v>
      </c>
      <c r="F2293">
        <v>2.33</v>
      </c>
      <c r="G2293">
        <v>33.299999999999997</v>
      </c>
    </row>
    <row r="2294" spans="1:7" ht="14" x14ac:dyDescent="0.3">
      <c r="A2294" t="s">
        <v>2322</v>
      </c>
      <c r="B2294" t="s">
        <v>8</v>
      </c>
      <c r="C2294">
        <v>1</v>
      </c>
      <c r="D2294">
        <v>1</v>
      </c>
      <c r="E2294">
        <v>244.02</v>
      </c>
      <c r="F2294">
        <v>4</v>
      </c>
      <c r="G2294">
        <v>0</v>
      </c>
    </row>
    <row r="2295" spans="1:7" ht="14" x14ac:dyDescent="0.3">
      <c r="A2295" t="s">
        <v>2323</v>
      </c>
      <c r="B2295" t="s">
        <v>8</v>
      </c>
      <c r="C2295">
        <v>5</v>
      </c>
      <c r="D2295">
        <v>5</v>
      </c>
      <c r="E2295">
        <v>242.74</v>
      </c>
      <c r="F2295">
        <v>4</v>
      </c>
      <c r="G2295">
        <v>100</v>
      </c>
    </row>
    <row r="2296" spans="1:7" ht="14" x14ac:dyDescent="0.3">
      <c r="A2296" t="s">
        <v>2324</v>
      </c>
      <c r="B2296" t="s">
        <v>418</v>
      </c>
      <c r="C2296">
        <v>1</v>
      </c>
      <c r="D2296">
        <v>1</v>
      </c>
      <c r="E2296">
        <v>242.67</v>
      </c>
      <c r="F2296">
        <v>3</v>
      </c>
      <c r="G2296">
        <v>100</v>
      </c>
    </row>
    <row r="2297" spans="1:7" ht="14" x14ac:dyDescent="0.3">
      <c r="A2297" t="s">
        <v>2325</v>
      </c>
      <c r="B2297" t="s">
        <v>8</v>
      </c>
      <c r="C2297">
        <v>3</v>
      </c>
      <c r="D2297">
        <v>3</v>
      </c>
      <c r="E2297">
        <v>242.43</v>
      </c>
      <c r="F2297">
        <v>4.33</v>
      </c>
      <c r="G2297">
        <v>100</v>
      </c>
    </row>
    <row r="2298" spans="1:7" ht="14" x14ac:dyDescent="0.3">
      <c r="A2298" t="s">
        <v>2326</v>
      </c>
      <c r="B2298" t="s">
        <v>8</v>
      </c>
      <c r="C2298">
        <v>5</v>
      </c>
      <c r="D2298">
        <v>7</v>
      </c>
      <c r="E2298">
        <v>242.31</v>
      </c>
      <c r="F2298">
        <v>4.43</v>
      </c>
      <c r="G2298">
        <v>100</v>
      </c>
    </row>
    <row r="2299" spans="1:7" ht="14" x14ac:dyDescent="0.3">
      <c r="A2299" t="s">
        <v>2327</v>
      </c>
      <c r="B2299" t="s">
        <v>32</v>
      </c>
      <c r="C2299">
        <v>3</v>
      </c>
      <c r="D2299">
        <v>3</v>
      </c>
      <c r="E2299">
        <v>242.23</v>
      </c>
      <c r="F2299">
        <v>5</v>
      </c>
      <c r="G2299">
        <v>100</v>
      </c>
    </row>
    <row r="2300" spans="1:7" ht="14" x14ac:dyDescent="0.3">
      <c r="A2300" t="s">
        <v>2328</v>
      </c>
      <c r="B2300" t="s">
        <v>87</v>
      </c>
      <c r="C2300">
        <v>4</v>
      </c>
      <c r="D2300">
        <v>4</v>
      </c>
      <c r="E2300">
        <v>242.12</v>
      </c>
      <c r="F2300">
        <v>4.75</v>
      </c>
      <c r="G2300">
        <v>100</v>
      </c>
    </row>
    <row r="2301" spans="1:7" ht="14" x14ac:dyDescent="0.3">
      <c r="A2301" t="s">
        <v>2329</v>
      </c>
      <c r="B2301" t="s">
        <v>32</v>
      </c>
      <c r="C2301">
        <v>2</v>
      </c>
      <c r="D2301">
        <v>2</v>
      </c>
      <c r="E2301">
        <v>241.21</v>
      </c>
      <c r="F2301">
        <v>5</v>
      </c>
      <c r="G2301">
        <v>100</v>
      </c>
    </row>
    <row r="2302" spans="1:7" ht="14" x14ac:dyDescent="0.3">
      <c r="A2302" t="s">
        <v>2330</v>
      </c>
      <c r="B2302" t="s">
        <v>8</v>
      </c>
      <c r="C2302">
        <v>4</v>
      </c>
      <c r="D2302">
        <v>4</v>
      </c>
      <c r="E2302">
        <v>240.7</v>
      </c>
      <c r="F2302">
        <v>2.75</v>
      </c>
      <c r="G2302">
        <v>100</v>
      </c>
    </row>
    <row r="2303" spans="1:7" ht="14" x14ac:dyDescent="0.3">
      <c r="A2303" t="s">
        <v>2331</v>
      </c>
      <c r="B2303" t="s">
        <v>8</v>
      </c>
      <c r="C2303">
        <v>4</v>
      </c>
      <c r="D2303">
        <v>4</v>
      </c>
      <c r="E2303">
        <v>240.44</v>
      </c>
      <c r="F2303">
        <v>4.5</v>
      </c>
      <c r="G2303">
        <v>100</v>
      </c>
    </row>
    <row r="2304" spans="1:7" ht="14" x14ac:dyDescent="0.3">
      <c r="A2304" t="s">
        <v>2332</v>
      </c>
      <c r="B2304" t="s">
        <v>42</v>
      </c>
      <c r="C2304">
        <v>8</v>
      </c>
      <c r="D2304">
        <v>8</v>
      </c>
      <c r="E2304">
        <v>240.26</v>
      </c>
      <c r="F2304">
        <v>4.5</v>
      </c>
      <c r="G2304">
        <v>100</v>
      </c>
    </row>
    <row r="2305" spans="1:7" ht="14" x14ac:dyDescent="0.3">
      <c r="A2305" t="s">
        <v>2333</v>
      </c>
      <c r="B2305" t="s">
        <v>32</v>
      </c>
      <c r="C2305">
        <v>3</v>
      </c>
      <c r="D2305">
        <v>4</v>
      </c>
      <c r="E2305">
        <v>240.12</v>
      </c>
      <c r="F2305">
        <v>2.25</v>
      </c>
      <c r="G2305">
        <v>100</v>
      </c>
    </row>
    <row r="2306" spans="1:7" ht="14" x14ac:dyDescent="0.3">
      <c r="A2306" t="s">
        <v>2334</v>
      </c>
      <c r="B2306" t="s">
        <v>8</v>
      </c>
      <c r="C2306">
        <v>3</v>
      </c>
      <c r="D2306">
        <v>3</v>
      </c>
      <c r="E2306">
        <v>240.06</v>
      </c>
      <c r="F2306">
        <v>4</v>
      </c>
      <c r="G2306">
        <v>100</v>
      </c>
    </row>
    <row r="2307" spans="1:7" ht="14" x14ac:dyDescent="0.3">
      <c r="A2307" t="s">
        <v>2335</v>
      </c>
      <c r="B2307" t="s">
        <v>87</v>
      </c>
      <c r="C2307">
        <v>1</v>
      </c>
      <c r="D2307">
        <v>2</v>
      </c>
      <c r="E2307">
        <v>239.48</v>
      </c>
      <c r="F2307">
        <v>1</v>
      </c>
      <c r="G2307">
        <v>0</v>
      </c>
    </row>
    <row r="2308" spans="1:7" ht="14" x14ac:dyDescent="0.3">
      <c r="A2308" t="s">
        <v>2336</v>
      </c>
      <c r="B2308" t="s">
        <v>309</v>
      </c>
      <c r="C2308">
        <v>1</v>
      </c>
      <c r="D2308">
        <v>1</v>
      </c>
      <c r="E2308">
        <v>239.04</v>
      </c>
      <c r="F2308">
        <v>5</v>
      </c>
      <c r="G2308">
        <v>100</v>
      </c>
    </row>
    <row r="2309" spans="1:7" ht="14" x14ac:dyDescent="0.3">
      <c r="A2309" t="s">
        <v>2337</v>
      </c>
      <c r="B2309" t="s">
        <v>8</v>
      </c>
      <c r="C2309">
        <v>4</v>
      </c>
      <c r="D2309">
        <v>4</v>
      </c>
      <c r="E2309">
        <v>237.8</v>
      </c>
      <c r="F2309">
        <v>3.75</v>
      </c>
      <c r="G2309">
        <v>100</v>
      </c>
    </row>
    <row r="2310" spans="1:7" ht="14" x14ac:dyDescent="0.3">
      <c r="A2310" t="s">
        <v>2338</v>
      </c>
      <c r="B2310" t="s">
        <v>32</v>
      </c>
      <c r="C2310">
        <v>1</v>
      </c>
      <c r="D2310">
        <v>2</v>
      </c>
      <c r="E2310">
        <v>237.67</v>
      </c>
      <c r="F2310">
        <v>5</v>
      </c>
      <c r="G2310">
        <v>100</v>
      </c>
    </row>
    <row r="2311" spans="1:7" ht="14" x14ac:dyDescent="0.3">
      <c r="A2311" t="s">
        <v>2339</v>
      </c>
      <c r="B2311" t="s">
        <v>8</v>
      </c>
      <c r="C2311">
        <v>2</v>
      </c>
      <c r="D2311">
        <v>2</v>
      </c>
      <c r="E2311">
        <v>237.6</v>
      </c>
      <c r="F2311">
        <v>5</v>
      </c>
      <c r="G2311">
        <v>100</v>
      </c>
    </row>
    <row r="2312" spans="1:7" ht="14" x14ac:dyDescent="0.3">
      <c r="A2312" t="s">
        <v>2340</v>
      </c>
      <c r="B2312" t="s">
        <v>8</v>
      </c>
      <c r="C2312">
        <v>2</v>
      </c>
      <c r="D2312">
        <v>2</v>
      </c>
      <c r="E2312">
        <v>237.53</v>
      </c>
      <c r="F2312">
        <v>5</v>
      </c>
      <c r="G2312">
        <v>100</v>
      </c>
    </row>
    <row r="2313" spans="1:7" ht="14" x14ac:dyDescent="0.3">
      <c r="A2313" t="s">
        <v>2341</v>
      </c>
      <c r="B2313" t="s">
        <v>8</v>
      </c>
      <c r="C2313">
        <v>5</v>
      </c>
      <c r="D2313">
        <v>5</v>
      </c>
      <c r="E2313">
        <v>236.47</v>
      </c>
      <c r="F2313">
        <v>3.2</v>
      </c>
      <c r="G2313">
        <v>60</v>
      </c>
    </row>
    <row r="2314" spans="1:7" ht="14" x14ac:dyDescent="0.3">
      <c r="A2314" s="1" t="s">
        <v>2342</v>
      </c>
      <c r="B2314" t="s">
        <v>8</v>
      </c>
      <c r="C2314">
        <v>1</v>
      </c>
      <c r="D2314">
        <v>2</v>
      </c>
      <c r="E2314">
        <v>235.84</v>
      </c>
      <c r="F2314">
        <v>5</v>
      </c>
      <c r="G2314">
        <v>100</v>
      </c>
    </row>
    <row r="2315" spans="1:7" ht="14" x14ac:dyDescent="0.3">
      <c r="A2315" t="s">
        <v>2343</v>
      </c>
      <c r="B2315" t="s">
        <v>8</v>
      </c>
      <c r="C2315">
        <v>2</v>
      </c>
      <c r="D2315">
        <v>5</v>
      </c>
      <c r="E2315">
        <v>235.25</v>
      </c>
      <c r="F2315">
        <v>3.4</v>
      </c>
      <c r="G2315">
        <v>100</v>
      </c>
    </row>
    <row r="2316" spans="1:7" ht="14" x14ac:dyDescent="0.3">
      <c r="A2316" t="s">
        <v>2344</v>
      </c>
      <c r="B2316" t="s">
        <v>8</v>
      </c>
      <c r="C2316">
        <v>3</v>
      </c>
      <c r="D2316">
        <v>3</v>
      </c>
      <c r="E2316">
        <v>235.11</v>
      </c>
      <c r="F2316">
        <v>3.67</v>
      </c>
      <c r="G2316">
        <v>66.7</v>
      </c>
    </row>
    <row r="2317" spans="1:7" ht="14" x14ac:dyDescent="0.3">
      <c r="A2317" t="s">
        <v>2345</v>
      </c>
      <c r="B2317" t="s">
        <v>8</v>
      </c>
      <c r="C2317">
        <v>1</v>
      </c>
      <c r="D2317">
        <v>1</v>
      </c>
      <c r="E2317">
        <v>234.61</v>
      </c>
      <c r="F2317">
        <v>2</v>
      </c>
      <c r="G2317">
        <v>0</v>
      </c>
    </row>
    <row r="2318" spans="1:7" ht="14" x14ac:dyDescent="0.3">
      <c r="A2318" t="s">
        <v>2346</v>
      </c>
      <c r="B2318" t="s">
        <v>8</v>
      </c>
      <c r="C2318">
        <v>1</v>
      </c>
      <c r="D2318">
        <v>1</v>
      </c>
      <c r="E2318">
        <v>234.4</v>
      </c>
      <c r="F2318">
        <v>4</v>
      </c>
      <c r="G2318">
        <v>100</v>
      </c>
    </row>
    <row r="2319" spans="1:7" ht="14" x14ac:dyDescent="0.3">
      <c r="A2319" t="s">
        <v>2347</v>
      </c>
      <c r="B2319" t="s">
        <v>8</v>
      </c>
      <c r="C2319">
        <v>3</v>
      </c>
      <c r="D2319">
        <v>3</v>
      </c>
      <c r="E2319">
        <v>234.04</v>
      </c>
      <c r="F2319">
        <v>4.33</v>
      </c>
      <c r="G2319">
        <v>100</v>
      </c>
    </row>
    <row r="2320" spans="1:7" ht="14" x14ac:dyDescent="0.3">
      <c r="A2320" t="s">
        <v>2348</v>
      </c>
      <c r="B2320" t="s">
        <v>8</v>
      </c>
      <c r="C2320">
        <v>1</v>
      </c>
      <c r="D2320">
        <v>1</v>
      </c>
      <c r="E2320">
        <v>233.38</v>
      </c>
      <c r="F2320">
        <v>1</v>
      </c>
      <c r="G2320">
        <v>100</v>
      </c>
    </row>
    <row r="2321" spans="1:7" ht="14" x14ac:dyDescent="0.3">
      <c r="A2321" t="s">
        <v>2349</v>
      </c>
      <c r="B2321" t="s">
        <v>8</v>
      </c>
      <c r="C2321">
        <v>2</v>
      </c>
      <c r="D2321">
        <v>2</v>
      </c>
      <c r="E2321">
        <v>233.25</v>
      </c>
      <c r="F2321">
        <v>3.5</v>
      </c>
      <c r="G2321">
        <v>100</v>
      </c>
    </row>
    <row r="2322" spans="1:7" ht="14" x14ac:dyDescent="0.3">
      <c r="A2322" t="s">
        <v>2350</v>
      </c>
      <c r="B2322" t="s">
        <v>8</v>
      </c>
      <c r="C2322">
        <v>2</v>
      </c>
      <c r="D2322">
        <v>2</v>
      </c>
      <c r="E2322">
        <v>232.47</v>
      </c>
      <c r="F2322">
        <v>5</v>
      </c>
      <c r="G2322">
        <v>100</v>
      </c>
    </row>
    <row r="2323" spans="1:7" ht="14" x14ac:dyDescent="0.3">
      <c r="A2323" t="s">
        <v>2351</v>
      </c>
      <c r="B2323" t="s">
        <v>32</v>
      </c>
      <c r="C2323">
        <v>3</v>
      </c>
      <c r="D2323">
        <v>3</v>
      </c>
      <c r="E2323">
        <v>231.96</v>
      </c>
      <c r="F2323">
        <v>3.67</v>
      </c>
      <c r="G2323">
        <v>100</v>
      </c>
    </row>
    <row r="2324" spans="1:7" ht="14" x14ac:dyDescent="0.3">
      <c r="A2324" t="s">
        <v>2352</v>
      </c>
      <c r="B2324" t="s">
        <v>8</v>
      </c>
      <c r="C2324">
        <v>2</v>
      </c>
      <c r="D2324">
        <v>2</v>
      </c>
      <c r="E2324">
        <v>231.34</v>
      </c>
      <c r="F2324">
        <v>4</v>
      </c>
      <c r="G2324">
        <v>100</v>
      </c>
    </row>
    <row r="2325" spans="1:7" ht="14" x14ac:dyDescent="0.3">
      <c r="A2325" t="s">
        <v>2353</v>
      </c>
      <c r="B2325" t="s">
        <v>24</v>
      </c>
      <c r="C2325">
        <v>3</v>
      </c>
      <c r="D2325">
        <v>3</v>
      </c>
      <c r="E2325">
        <v>230.8</v>
      </c>
      <c r="F2325">
        <v>4.67</v>
      </c>
      <c r="G2325">
        <v>100</v>
      </c>
    </row>
    <row r="2326" spans="1:7" ht="14" x14ac:dyDescent="0.3">
      <c r="A2326" t="s">
        <v>2354</v>
      </c>
      <c r="B2326" t="s">
        <v>8</v>
      </c>
      <c r="C2326">
        <v>1</v>
      </c>
      <c r="D2326">
        <v>4</v>
      </c>
      <c r="E2326">
        <v>230.52</v>
      </c>
      <c r="F2326">
        <v>1</v>
      </c>
      <c r="G2326">
        <v>100</v>
      </c>
    </row>
    <row r="2327" spans="1:7" ht="14" x14ac:dyDescent="0.3">
      <c r="A2327" t="s">
        <v>2355</v>
      </c>
      <c r="B2327" t="s">
        <v>8</v>
      </c>
      <c r="C2327">
        <v>2</v>
      </c>
      <c r="D2327">
        <v>2</v>
      </c>
      <c r="E2327">
        <v>229.9</v>
      </c>
      <c r="F2327">
        <v>1.5</v>
      </c>
      <c r="G2327">
        <v>0</v>
      </c>
    </row>
    <row r="2328" spans="1:7" ht="14" x14ac:dyDescent="0.3">
      <c r="A2328" t="s">
        <v>2356</v>
      </c>
      <c r="B2328" t="s">
        <v>22</v>
      </c>
      <c r="C2328">
        <v>2</v>
      </c>
      <c r="D2328">
        <v>2</v>
      </c>
      <c r="E2328">
        <v>229.64</v>
      </c>
      <c r="F2328">
        <v>5</v>
      </c>
      <c r="G2328">
        <v>100</v>
      </c>
    </row>
    <row r="2329" spans="1:7" ht="14" x14ac:dyDescent="0.3">
      <c r="A2329" t="s">
        <v>2357</v>
      </c>
      <c r="B2329" t="s">
        <v>32</v>
      </c>
      <c r="C2329">
        <v>2</v>
      </c>
      <c r="D2329">
        <v>2</v>
      </c>
      <c r="E2329">
        <v>229.25</v>
      </c>
      <c r="F2329">
        <v>5</v>
      </c>
      <c r="G2329">
        <v>100</v>
      </c>
    </row>
    <row r="2330" spans="1:7" ht="14" x14ac:dyDescent="0.3">
      <c r="A2330" t="s">
        <v>2358</v>
      </c>
      <c r="B2330" t="s">
        <v>32</v>
      </c>
      <c r="C2330">
        <v>2</v>
      </c>
      <c r="D2330">
        <v>2</v>
      </c>
      <c r="E2330">
        <v>228.72</v>
      </c>
      <c r="F2330">
        <v>2</v>
      </c>
      <c r="G2330">
        <v>100</v>
      </c>
    </row>
    <row r="2331" spans="1:7" ht="14" x14ac:dyDescent="0.3">
      <c r="A2331" t="s">
        <v>2359</v>
      </c>
      <c r="B2331" t="s">
        <v>24</v>
      </c>
      <c r="C2331">
        <v>2</v>
      </c>
      <c r="D2331">
        <v>2</v>
      </c>
      <c r="E2331">
        <v>228.26</v>
      </c>
      <c r="F2331">
        <v>3.5</v>
      </c>
      <c r="G2331">
        <v>100</v>
      </c>
    </row>
    <row r="2332" spans="1:7" ht="14" x14ac:dyDescent="0.3">
      <c r="A2332" t="s">
        <v>2360</v>
      </c>
      <c r="B2332" t="s">
        <v>8</v>
      </c>
      <c r="C2332">
        <v>6</v>
      </c>
      <c r="D2332">
        <v>6</v>
      </c>
      <c r="E2332">
        <v>228.05</v>
      </c>
      <c r="F2332">
        <v>3.33</v>
      </c>
      <c r="G2332">
        <v>100</v>
      </c>
    </row>
    <row r="2333" spans="1:7" ht="14" x14ac:dyDescent="0.3">
      <c r="A2333" t="s">
        <v>2361</v>
      </c>
      <c r="B2333" t="s">
        <v>24</v>
      </c>
      <c r="C2333">
        <v>2</v>
      </c>
      <c r="D2333">
        <v>3</v>
      </c>
      <c r="E2333">
        <v>227.67</v>
      </c>
      <c r="F2333">
        <v>4.33</v>
      </c>
      <c r="G2333">
        <v>100</v>
      </c>
    </row>
    <row r="2334" spans="1:7" ht="14" x14ac:dyDescent="0.3">
      <c r="A2334" t="s">
        <v>2362</v>
      </c>
      <c r="B2334" t="s">
        <v>8</v>
      </c>
      <c r="C2334">
        <v>6</v>
      </c>
      <c r="D2334">
        <v>6</v>
      </c>
      <c r="E2334">
        <v>226.81</v>
      </c>
      <c r="F2334">
        <v>4</v>
      </c>
      <c r="G2334">
        <v>100</v>
      </c>
    </row>
    <row r="2335" spans="1:7" ht="14" x14ac:dyDescent="0.3">
      <c r="A2335" t="s">
        <v>2363</v>
      </c>
      <c r="B2335" t="s">
        <v>42</v>
      </c>
      <c r="C2335">
        <v>4</v>
      </c>
      <c r="D2335">
        <v>4</v>
      </c>
      <c r="E2335">
        <v>226.47</v>
      </c>
      <c r="F2335">
        <v>3.5</v>
      </c>
      <c r="G2335">
        <v>75</v>
      </c>
    </row>
    <row r="2336" spans="1:7" ht="14" x14ac:dyDescent="0.3">
      <c r="A2336" t="s">
        <v>2364</v>
      </c>
      <c r="B2336" t="s">
        <v>87</v>
      </c>
      <c r="C2336">
        <v>2</v>
      </c>
      <c r="D2336">
        <v>2</v>
      </c>
      <c r="E2336">
        <v>225.65</v>
      </c>
      <c r="F2336">
        <v>2.5</v>
      </c>
      <c r="G2336">
        <v>100</v>
      </c>
    </row>
    <row r="2337" spans="1:7" ht="14" x14ac:dyDescent="0.3">
      <c r="A2337" t="s">
        <v>2365</v>
      </c>
      <c r="B2337" t="s">
        <v>8</v>
      </c>
      <c r="C2337">
        <v>3</v>
      </c>
      <c r="D2337">
        <v>4</v>
      </c>
      <c r="E2337">
        <v>225.62</v>
      </c>
      <c r="F2337">
        <v>4.75</v>
      </c>
      <c r="G2337">
        <v>100</v>
      </c>
    </row>
    <row r="2338" spans="1:7" ht="14" x14ac:dyDescent="0.3">
      <c r="A2338" t="s">
        <v>2366</v>
      </c>
      <c r="B2338" t="s">
        <v>8</v>
      </c>
      <c r="C2338">
        <v>5</v>
      </c>
      <c r="D2338">
        <v>5</v>
      </c>
      <c r="E2338">
        <v>225.61</v>
      </c>
      <c r="F2338">
        <v>4.5999999999999996</v>
      </c>
      <c r="G2338">
        <v>100</v>
      </c>
    </row>
    <row r="2339" spans="1:7" ht="14" x14ac:dyDescent="0.3">
      <c r="A2339" t="s">
        <v>2367</v>
      </c>
      <c r="B2339" t="s">
        <v>24</v>
      </c>
      <c r="C2339">
        <v>2</v>
      </c>
      <c r="D2339">
        <v>2</v>
      </c>
      <c r="E2339">
        <v>225.61</v>
      </c>
      <c r="F2339">
        <v>5</v>
      </c>
      <c r="G2339">
        <v>100</v>
      </c>
    </row>
    <row r="2340" spans="1:7" ht="14" x14ac:dyDescent="0.3">
      <c r="A2340" t="s">
        <v>2368</v>
      </c>
      <c r="B2340" t="s">
        <v>32</v>
      </c>
      <c r="C2340">
        <v>1</v>
      </c>
      <c r="D2340">
        <v>1</v>
      </c>
      <c r="E2340">
        <v>225.21</v>
      </c>
      <c r="F2340">
        <v>4</v>
      </c>
      <c r="G2340">
        <v>100</v>
      </c>
    </row>
    <row r="2341" spans="1:7" ht="14" x14ac:dyDescent="0.3">
      <c r="A2341" t="s">
        <v>2369</v>
      </c>
      <c r="B2341" t="s">
        <v>418</v>
      </c>
      <c r="C2341">
        <v>1</v>
      </c>
      <c r="D2341">
        <v>1</v>
      </c>
      <c r="E2341">
        <v>224.75</v>
      </c>
      <c r="F2341">
        <v>5</v>
      </c>
      <c r="G2341">
        <v>100</v>
      </c>
    </row>
    <row r="2342" spans="1:7" ht="14" x14ac:dyDescent="0.3">
      <c r="A2342" t="s">
        <v>2370</v>
      </c>
      <c r="B2342" t="s">
        <v>8</v>
      </c>
      <c r="C2342">
        <v>3</v>
      </c>
      <c r="D2342">
        <v>4</v>
      </c>
      <c r="E2342">
        <v>224.68</v>
      </c>
      <c r="F2342">
        <v>4.75</v>
      </c>
      <c r="G2342">
        <v>100</v>
      </c>
    </row>
    <row r="2343" spans="1:7" ht="14" x14ac:dyDescent="0.3">
      <c r="A2343" t="s">
        <v>2371</v>
      </c>
      <c r="B2343" t="s">
        <v>12</v>
      </c>
      <c r="C2343">
        <v>1</v>
      </c>
      <c r="D2343">
        <v>1</v>
      </c>
      <c r="E2343">
        <v>224.45</v>
      </c>
      <c r="F2343">
        <v>4</v>
      </c>
      <c r="G2343">
        <v>100</v>
      </c>
    </row>
    <row r="2344" spans="1:7" ht="14" x14ac:dyDescent="0.3">
      <c r="A2344" t="s">
        <v>2372</v>
      </c>
      <c r="B2344" t="s">
        <v>32</v>
      </c>
      <c r="C2344">
        <v>1</v>
      </c>
      <c r="D2344">
        <v>1</v>
      </c>
      <c r="E2344">
        <v>224.44</v>
      </c>
      <c r="F2344">
        <v>5</v>
      </c>
      <c r="G2344">
        <v>100</v>
      </c>
    </row>
    <row r="2345" spans="1:7" ht="14" x14ac:dyDescent="0.3">
      <c r="A2345" t="s">
        <v>2373</v>
      </c>
      <c r="B2345" t="s">
        <v>8</v>
      </c>
      <c r="C2345">
        <v>6</v>
      </c>
      <c r="D2345">
        <v>8</v>
      </c>
      <c r="E2345">
        <v>223.1</v>
      </c>
      <c r="F2345">
        <v>4.13</v>
      </c>
      <c r="G2345">
        <v>100</v>
      </c>
    </row>
    <row r="2346" spans="1:7" ht="14" x14ac:dyDescent="0.3">
      <c r="A2346" t="s">
        <v>2374</v>
      </c>
      <c r="B2346" t="s">
        <v>8</v>
      </c>
      <c r="C2346">
        <v>2</v>
      </c>
      <c r="D2346">
        <v>2</v>
      </c>
      <c r="E2346">
        <v>222.88</v>
      </c>
      <c r="F2346">
        <v>3.5</v>
      </c>
      <c r="G2346">
        <v>100</v>
      </c>
    </row>
    <row r="2347" spans="1:7" ht="14" x14ac:dyDescent="0.3">
      <c r="A2347" t="s">
        <v>2375</v>
      </c>
      <c r="B2347" t="s">
        <v>8</v>
      </c>
      <c r="C2347">
        <v>2</v>
      </c>
      <c r="D2347">
        <v>2</v>
      </c>
      <c r="E2347">
        <v>222.74</v>
      </c>
      <c r="F2347">
        <v>5</v>
      </c>
      <c r="G2347">
        <v>100</v>
      </c>
    </row>
    <row r="2348" spans="1:7" ht="14" x14ac:dyDescent="0.3">
      <c r="A2348" t="s">
        <v>2376</v>
      </c>
      <c r="B2348" t="s">
        <v>8</v>
      </c>
      <c r="C2348">
        <v>2</v>
      </c>
      <c r="D2348">
        <v>2</v>
      </c>
      <c r="E2348">
        <v>222.37</v>
      </c>
      <c r="F2348">
        <v>2.5</v>
      </c>
      <c r="G2348">
        <v>100</v>
      </c>
    </row>
    <row r="2349" spans="1:7" ht="14" x14ac:dyDescent="0.3">
      <c r="A2349" t="s">
        <v>2377</v>
      </c>
      <c r="B2349" t="s">
        <v>32</v>
      </c>
      <c r="C2349">
        <v>1</v>
      </c>
      <c r="D2349">
        <v>1</v>
      </c>
      <c r="E2349">
        <v>222.13</v>
      </c>
      <c r="F2349">
        <v>2</v>
      </c>
      <c r="G2349">
        <v>100</v>
      </c>
    </row>
    <row r="2350" spans="1:7" ht="14" x14ac:dyDescent="0.3">
      <c r="A2350" t="s">
        <v>2378</v>
      </c>
      <c r="B2350" t="s">
        <v>32</v>
      </c>
      <c r="C2350">
        <v>1</v>
      </c>
      <c r="D2350">
        <v>1</v>
      </c>
      <c r="E2350">
        <v>222.1</v>
      </c>
      <c r="F2350">
        <v>5</v>
      </c>
      <c r="G2350">
        <v>100</v>
      </c>
    </row>
    <row r="2351" spans="1:7" ht="14" x14ac:dyDescent="0.3">
      <c r="A2351" t="s">
        <v>2379</v>
      </c>
      <c r="B2351" t="s">
        <v>8</v>
      </c>
      <c r="C2351">
        <v>3</v>
      </c>
      <c r="D2351">
        <v>4</v>
      </c>
      <c r="E2351">
        <v>220.56</v>
      </c>
      <c r="F2351">
        <v>4.5</v>
      </c>
      <c r="G2351">
        <v>100</v>
      </c>
    </row>
    <row r="2352" spans="1:7" ht="14" x14ac:dyDescent="0.3">
      <c r="A2352" t="s">
        <v>2380</v>
      </c>
      <c r="B2352" t="s">
        <v>8</v>
      </c>
      <c r="C2352">
        <v>5</v>
      </c>
      <c r="D2352">
        <v>5</v>
      </c>
      <c r="E2352">
        <v>219.75</v>
      </c>
      <c r="F2352">
        <v>4</v>
      </c>
      <c r="G2352">
        <v>80</v>
      </c>
    </row>
    <row r="2353" spans="1:7" ht="14" x14ac:dyDescent="0.3">
      <c r="A2353" t="s">
        <v>2381</v>
      </c>
      <c r="B2353" t="s">
        <v>8</v>
      </c>
      <c r="C2353">
        <v>4</v>
      </c>
      <c r="D2353">
        <v>4</v>
      </c>
      <c r="E2353">
        <v>219.62</v>
      </c>
      <c r="F2353">
        <v>5</v>
      </c>
      <c r="G2353">
        <v>100</v>
      </c>
    </row>
    <row r="2354" spans="1:7" ht="14" x14ac:dyDescent="0.3">
      <c r="A2354" t="s">
        <v>2382</v>
      </c>
      <c r="B2354" t="s">
        <v>101</v>
      </c>
      <c r="C2354">
        <v>1</v>
      </c>
      <c r="D2354">
        <v>1</v>
      </c>
      <c r="E2354">
        <v>219.33</v>
      </c>
      <c r="F2354">
        <v>5</v>
      </c>
      <c r="G2354">
        <v>100</v>
      </c>
    </row>
    <row r="2355" spans="1:7" ht="14" x14ac:dyDescent="0.3">
      <c r="A2355" t="s">
        <v>2383</v>
      </c>
      <c r="B2355" t="s">
        <v>8</v>
      </c>
      <c r="C2355">
        <v>1</v>
      </c>
      <c r="D2355">
        <v>1</v>
      </c>
      <c r="E2355">
        <v>219.27</v>
      </c>
      <c r="F2355">
        <v>5</v>
      </c>
      <c r="G2355">
        <v>100</v>
      </c>
    </row>
    <row r="2356" spans="1:7" ht="14" x14ac:dyDescent="0.3">
      <c r="A2356" t="s">
        <v>2384</v>
      </c>
      <c r="B2356" t="s">
        <v>8</v>
      </c>
      <c r="C2356">
        <v>1</v>
      </c>
      <c r="D2356">
        <v>1</v>
      </c>
      <c r="E2356">
        <v>219.27</v>
      </c>
      <c r="F2356">
        <v>5</v>
      </c>
      <c r="G2356">
        <v>100</v>
      </c>
    </row>
    <row r="2357" spans="1:7" ht="14" x14ac:dyDescent="0.3">
      <c r="A2357" t="s">
        <v>2385</v>
      </c>
      <c r="B2357" t="s">
        <v>32</v>
      </c>
      <c r="C2357">
        <v>4</v>
      </c>
      <c r="D2357">
        <v>9</v>
      </c>
      <c r="E2357">
        <v>219.23</v>
      </c>
      <c r="F2357">
        <v>2.33</v>
      </c>
      <c r="G2357">
        <v>100</v>
      </c>
    </row>
    <row r="2358" spans="1:7" ht="14" x14ac:dyDescent="0.3">
      <c r="A2358" t="s">
        <v>2386</v>
      </c>
      <c r="B2358" t="s">
        <v>8</v>
      </c>
      <c r="C2358">
        <v>3</v>
      </c>
      <c r="D2358">
        <v>3</v>
      </c>
      <c r="E2358">
        <v>219.22</v>
      </c>
      <c r="F2358">
        <v>3.67</v>
      </c>
      <c r="G2358">
        <v>100</v>
      </c>
    </row>
    <row r="2359" spans="1:7" ht="14" x14ac:dyDescent="0.3">
      <c r="A2359" t="s">
        <v>2387</v>
      </c>
      <c r="B2359" t="s">
        <v>42</v>
      </c>
      <c r="C2359">
        <v>1</v>
      </c>
      <c r="D2359">
        <v>1</v>
      </c>
      <c r="E2359">
        <v>219.06</v>
      </c>
      <c r="F2359">
        <v>5</v>
      </c>
      <c r="G2359">
        <v>100</v>
      </c>
    </row>
    <row r="2360" spans="1:7" ht="14" x14ac:dyDescent="0.3">
      <c r="A2360" t="s">
        <v>2388</v>
      </c>
      <c r="B2360" t="s">
        <v>8</v>
      </c>
      <c r="C2360">
        <v>1</v>
      </c>
      <c r="D2360">
        <v>1</v>
      </c>
      <c r="E2360">
        <v>218.95</v>
      </c>
      <c r="F2360">
        <v>2</v>
      </c>
      <c r="G2360">
        <v>100</v>
      </c>
    </row>
    <row r="2361" spans="1:7" ht="14" x14ac:dyDescent="0.3">
      <c r="A2361" t="s">
        <v>2389</v>
      </c>
      <c r="B2361" t="s">
        <v>8</v>
      </c>
      <c r="C2361">
        <v>6</v>
      </c>
      <c r="D2361">
        <v>8</v>
      </c>
      <c r="E2361">
        <v>218.82</v>
      </c>
      <c r="F2361">
        <v>4</v>
      </c>
      <c r="G2361">
        <v>100</v>
      </c>
    </row>
    <row r="2362" spans="1:7" ht="14" x14ac:dyDescent="0.3">
      <c r="A2362" t="s">
        <v>2390</v>
      </c>
      <c r="B2362" t="s">
        <v>8</v>
      </c>
      <c r="C2362">
        <v>8</v>
      </c>
      <c r="D2362">
        <v>8</v>
      </c>
      <c r="E2362">
        <v>218.81</v>
      </c>
      <c r="F2362">
        <v>2.75</v>
      </c>
      <c r="G2362">
        <v>62.5</v>
      </c>
    </row>
    <row r="2363" spans="1:7" ht="14" x14ac:dyDescent="0.3">
      <c r="A2363" t="s">
        <v>2391</v>
      </c>
      <c r="B2363" t="s">
        <v>8</v>
      </c>
      <c r="C2363">
        <v>2</v>
      </c>
      <c r="D2363">
        <v>2</v>
      </c>
      <c r="E2363">
        <v>218.75</v>
      </c>
      <c r="F2363">
        <v>5</v>
      </c>
      <c r="G2363">
        <v>100</v>
      </c>
    </row>
    <row r="2364" spans="1:7" ht="14" x14ac:dyDescent="0.3">
      <c r="A2364" t="s">
        <v>2392</v>
      </c>
      <c r="B2364" t="s">
        <v>8</v>
      </c>
      <c r="C2364">
        <v>1</v>
      </c>
      <c r="D2364">
        <v>6</v>
      </c>
      <c r="E2364">
        <v>218.7</v>
      </c>
      <c r="F2364">
        <v>5</v>
      </c>
      <c r="G2364">
        <v>100</v>
      </c>
    </row>
    <row r="2365" spans="1:7" ht="14" x14ac:dyDescent="0.3">
      <c r="A2365" t="s">
        <v>2393</v>
      </c>
      <c r="B2365" t="s">
        <v>8</v>
      </c>
      <c r="C2365">
        <v>1</v>
      </c>
      <c r="D2365">
        <v>1</v>
      </c>
      <c r="E2365">
        <v>218.13</v>
      </c>
      <c r="F2365">
        <v>4</v>
      </c>
      <c r="G2365">
        <v>100</v>
      </c>
    </row>
    <row r="2366" spans="1:7" ht="14" x14ac:dyDescent="0.3">
      <c r="A2366" t="s">
        <v>2394</v>
      </c>
      <c r="B2366" t="s">
        <v>8</v>
      </c>
      <c r="C2366">
        <v>1</v>
      </c>
      <c r="D2366">
        <v>1</v>
      </c>
      <c r="E2366">
        <v>217.71</v>
      </c>
      <c r="F2366">
        <v>1</v>
      </c>
      <c r="G2366">
        <v>100</v>
      </c>
    </row>
    <row r="2367" spans="1:7" ht="14" x14ac:dyDescent="0.3">
      <c r="A2367" t="s">
        <v>2395</v>
      </c>
      <c r="B2367" t="s">
        <v>8</v>
      </c>
      <c r="C2367">
        <v>1</v>
      </c>
      <c r="D2367">
        <v>1</v>
      </c>
      <c r="E2367">
        <v>217</v>
      </c>
      <c r="F2367">
        <v>5</v>
      </c>
      <c r="G2367">
        <v>100</v>
      </c>
    </row>
    <row r="2368" spans="1:7" ht="14" x14ac:dyDescent="0.3">
      <c r="A2368" t="s">
        <v>2396</v>
      </c>
      <c r="B2368" t="s">
        <v>24</v>
      </c>
      <c r="C2368">
        <v>3</v>
      </c>
      <c r="D2368">
        <v>3</v>
      </c>
      <c r="E2368">
        <v>216.86</v>
      </c>
      <c r="F2368">
        <v>2.33</v>
      </c>
      <c r="G2368">
        <v>100</v>
      </c>
    </row>
    <row r="2369" spans="1:7" ht="14" x14ac:dyDescent="0.3">
      <c r="A2369" t="s">
        <v>2397</v>
      </c>
      <c r="B2369" t="s">
        <v>24</v>
      </c>
      <c r="C2369">
        <v>1</v>
      </c>
      <c r="D2369">
        <v>1</v>
      </c>
      <c r="E2369">
        <v>216.6</v>
      </c>
      <c r="F2369">
        <v>5</v>
      </c>
      <c r="G2369">
        <v>100</v>
      </c>
    </row>
    <row r="2370" spans="1:7" ht="14" x14ac:dyDescent="0.3">
      <c r="A2370" s="1" t="s">
        <v>2398</v>
      </c>
      <c r="B2370" t="s">
        <v>8</v>
      </c>
      <c r="C2370">
        <v>2</v>
      </c>
      <c r="D2370">
        <v>2</v>
      </c>
      <c r="E2370">
        <v>216.23</v>
      </c>
      <c r="F2370">
        <v>5</v>
      </c>
      <c r="G2370">
        <v>100</v>
      </c>
    </row>
    <row r="2371" spans="1:7" ht="14" x14ac:dyDescent="0.3">
      <c r="A2371" t="s">
        <v>2399</v>
      </c>
      <c r="B2371" t="s">
        <v>8</v>
      </c>
      <c r="C2371">
        <v>5</v>
      </c>
      <c r="D2371">
        <v>7</v>
      </c>
      <c r="E2371">
        <v>215.95</v>
      </c>
      <c r="F2371">
        <v>5</v>
      </c>
      <c r="G2371">
        <v>100</v>
      </c>
    </row>
    <row r="2372" spans="1:7" ht="14" x14ac:dyDescent="0.3">
      <c r="A2372" t="s">
        <v>2400</v>
      </c>
      <c r="B2372" t="s">
        <v>8</v>
      </c>
      <c r="C2372">
        <v>5</v>
      </c>
      <c r="D2372">
        <v>6</v>
      </c>
      <c r="E2372">
        <v>215.89</v>
      </c>
      <c r="F2372">
        <v>4.67</v>
      </c>
      <c r="G2372">
        <v>83.3</v>
      </c>
    </row>
    <row r="2373" spans="1:7" ht="14" x14ac:dyDescent="0.3">
      <c r="A2373" t="s">
        <v>2401</v>
      </c>
      <c r="B2373" t="s">
        <v>8</v>
      </c>
      <c r="C2373">
        <v>9</v>
      </c>
      <c r="D2373">
        <v>9</v>
      </c>
      <c r="E2373">
        <v>215.55</v>
      </c>
      <c r="F2373">
        <v>4.4400000000000004</v>
      </c>
      <c r="G2373">
        <v>100</v>
      </c>
    </row>
    <row r="2374" spans="1:7" ht="14" x14ac:dyDescent="0.3">
      <c r="A2374" t="s">
        <v>2402</v>
      </c>
      <c r="B2374" t="s">
        <v>8</v>
      </c>
      <c r="C2374">
        <v>4</v>
      </c>
      <c r="D2374">
        <v>4</v>
      </c>
      <c r="E2374">
        <v>215.1</v>
      </c>
      <c r="F2374">
        <v>3.5</v>
      </c>
      <c r="G2374">
        <v>75</v>
      </c>
    </row>
    <row r="2375" spans="1:7" ht="14" x14ac:dyDescent="0.3">
      <c r="A2375" t="s">
        <v>2403</v>
      </c>
      <c r="B2375" t="s">
        <v>22</v>
      </c>
      <c r="C2375">
        <v>3</v>
      </c>
      <c r="D2375">
        <v>4</v>
      </c>
      <c r="E2375">
        <v>214.82</v>
      </c>
      <c r="F2375">
        <v>5</v>
      </c>
      <c r="G2375">
        <v>100</v>
      </c>
    </row>
    <row r="2376" spans="1:7" ht="14" x14ac:dyDescent="0.3">
      <c r="A2376" t="s">
        <v>2404</v>
      </c>
      <c r="B2376" t="s">
        <v>8</v>
      </c>
      <c r="C2376">
        <v>1</v>
      </c>
      <c r="D2376">
        <v>1</v>
      </c>
      <c r="E2376">
        <v>214.56</v>
      </c>
      <c r="F2376">
        <v>5</v>
      </c>
      <c r="G2376">
        <v>100</v>
      </c>
    </row>
    <row r="2377" spans="1:7" ht="14" x14ac:dyDescent="0.3">
      <c r="A2377" t="s">
        <v>2405</v>
      </c>
      <c r="B2377" t="s">
        <v>22</v>
      </c>
      <c r="C2377">
        <v>2</v>
      </c>
      <c r="D2377">
        <v>2</v>
      </c>
      <c r="E2377">
        <v>214.1</v>
      </c>
      <c r="F2377">
        <v>3</v>
      </c>
      <c r="G2377">
        <v>0</v>
      </c>
    </row>
    <row r="2378" spans="1:7" ht="14" x14ac:dyDescent="0.3">
      <c r="A2378" t="s">
        <v>2406</v>
      </c>
      <c r="B2378" t="s">
        <v>8</v>
      </c>
      <c r="C2378">
        <v>2</v>
      </c>
      <c r="D2378">
        <v>2</v>
      </c>
      <c r="E2378">
        <v>213.13</v>
      </c>
      <c r="F2378">
        <v>2.5</v>
      </c>
      <c r="G2378">
        <v>50</v>
      </c>
    </row>
    <row r="2379" spans="1:7" ht="14" x14ac:dyDescent="0.3">
      <c r="A2379" t="s">
        <v>2407</v>
      </c>
      <c r="B2379" t="s">
        <v>8</v>
      </c>
      <c r="C2379">
        <v>2</v>
      </c>
      <c r="D2379">
        <v>2</v>
      </c>
      <c r="E2379">
        <v>212.57</v>
      </c>
      <c r="F2379">
        <v>4.25</v>
      </c>
      <c r="G2379">
        <v>100</v>
      </c>
    </row>
    <row r="2380" spans="1:7" ht="14" x14ac:dyDescent="0.3">
      <c r="A2380" t="s">
        <v>2408</v>
      </c>
      <c r="B2380" t="s">
        <v>87</v>
      </c>
      <c r="C2380">
        <v>2</v>
      </c>
      <c r="D2380">
        <v>2</v>
      </c>
      <c r="E2380">
        <v>212.57</v>
      </c>
      <c r="F2380">
        <v>5</v>
      </c>
      <c r="G2380">
        <v>100</v>
      </c>
    </row>
    <row r="2381" spans="1:7" ht="14" x14ac:dyDescent="0.3">
      <c r="A2381" t="s">
        <v>2409</v>
      </c>
      <c r="B2381" t="s">
        <v>8</v>
      </c>
      <c r="C2381">
        <v>1</v>
      </c>
      <c r="D2381">
        <v>1</v>
      </c>
      <c r="E2381">
        <v>212.06</v>
      </c>
      <c r="F2381">
        <v>1</v>
      </c>
      <c r="G2381">
        <v>0</v>
      </c>
    </row>
    <row r="2382" spans="1:7" ht="14" x14ac:dyDescent="0.3">
      <c r="A2382" t="s">
        <v>2410</v>
      </c>
      <c r="B2382" t="s">
        <v>32</v>
      </c>
      <c r="C2382">
        <v>2</v>
      </c>
      <c r="D2382">
        <v>2</v>
      </c>
      <c r="E2382">
        <v>211.67</v>
      </c>
      <c r="F2382">
        <v>5</v>
      </c>
      <c r="G2382">
        <v>100</v>
      </c>
    </row>
    <row r="2383" spans="1:7" ht="14" x14ac:dyDescent="0.3">
      <c r="A2383" t="s">
        <v>2411</v>
      </c>
      <c r="B2383" t="s">
        <v>8</v>
      </c>
      <c r="C2383">
        <v>2</v>
      </c>
      <c r="D2383">
        <v>5</v>
      </c>
      <c r="E2383">
        <v>210.9</v>
      </c>
      <c r="F2383">
        <v>3.2</v>
      </c>
      <c r="G2383">
        <v>100</v>
      </c>
    </row>
    <row r="2384" spans="1:7" ht="14" x14ac:dyDescent="0.3">
      <c r="A2384" t="s">
        <v>2412</v>
      </c>
      <c r="B2384" t="s">
        <v>24</v>
      </c>
      <c r="C2384">
        <v>3</v>
      </c>
      <c r="D2384">
        <v>3</v>
      </c>
      <c r="E2384">
        <v>210.9</v>
      </c>
      <c r="F2384">
        <v>5</v>
      </c>
      <c r="G2384">
        <v>100</v>
      </c>
    </row>
    <row r="2385" spans="1:7" ht="14" x14ac:dyDescent="0.3">
      <c r="A2385" t="s">
        <v>2413</v>
      </c>
      <c r="B2385" t="s">
        <v>32</v>
      </c>
      <c r="C2385">
        <v>2</v>
      </c>
      <c r="D2385">
        <v>2</v>
      </c>
      <c r="E2385">
        <v>210.75</v>
      </c>
      <c r="F2385">
        <v>4</v>
      </c>
      <c r="G2385">
        <v>100</v>
      </c>
    </row>
    <row r="2386" spans="1:7" ht="14" x14ac:dyDescent="0.3">
      <c r="A2386" t="s">
        <v>2414</v>
      </c>
      <c r="B2386" t="s">
        <v>8</v>
      </c>
      <c r="C2386">
        <v>4</v>
      </c>
      <c r="D2386">
        <v>4</v>
      </c>
      <c r="E2386">
        <v>210.57</v>
      </c>
      <c r="F2386">
        <v>4.5</v>
      </c>
      <c r="G2386">
        <v>100</v>
      </c>
    </row>
    <row r="2387" spans="1:7" ht="14" x14ac:dyDescent="0.3">
      <c r="A2387" s="1" t="s">
        <v>2415</v>
      </c>
      <c r="B2387" t="s">
        <v>8</v>
      </c>
      <c r="C2387">
        <v>5</v>
      </c>
      <c r="D2387">
        <v>5</v>
      </c>
      <c r="E2387">
        <v>210.44</v>
      </c>
      <c r="F2387">
        <v>4.8</v>
      </c>
      <c r="G2387">
        <v>80</v>
      </c>
    </row>
    <row r="2388" spans="1:7" ht="14" x14ac:dyDescent="0.3">
      <c r="A2388" t="s">
        <v>2416</v>
      </c>
      <c r="B2388" t="s">
        <v>32</v>
      </c>
      <c r="C2388">
        <v>4</v>
      </c>
      <c r="D2388">
        <v>6</v>
      </c>
      <c r="E2388">
        <v>210.01</v>
      </c>
      <c r="F2388">
        <v>3.5</v>
      </c>
      <c r="G2388">
        <v>100</v>
      </c>
    </row>
    <row r="2389" spans="1:7" ht="14" x14ac:dyDescent="0.3">
      <c r="A2389" t="s">
        <v>2417</v>
      </c>
      <c r="B2389" t="s">
        <v>87</v>
      </c>
      <c r="C2389">
        <v>3</v>
      </c>
      <c r="D2389">
        <v>3</v>
      </c>
      <c r="E2389">
        <v>209.88</v>
      </c>
      <c r="F2389">
        <v>4.67</v>
      </c>
      <c r="G2389">
        <v>100</v>
      </c>
    </row>
    <row r="2390" spans="1:7" ht="14" x14ac:dyDescent="0.3">
      <c r="A2390" t="s">
        <v>2418</v>
      </c>
      <c r="B2390" t="s">
        <v>8</v>
      </c>
      <c r="C2390">
        <v>5</v>
      </c>
      <c r="D2390">
        <v>5</v>
      </c>
      <c r="E2390">
        <v>209.23</v>
      </c>
      <c r="F2390">
        <v>4.5999999999999996</v>
      </c>
      <c r="G2390">
        <v>100</v>
      </c>
    </row>
    <row r="2391" spans="1:7" ht="14" x14ac:dyDescent="0.3">
      <c r="A2391" t="s">
        <v>2419</v>
      </c>
      <c r="B2391" t="s">
        <v>8</v>
      </c>
      <c r="C2391">
        <v>1</v>
      </c>
      <c r="D2391">
        <v>1</v>
      </c>
      <c r="E2391">
        <v>208.16</v>
      </c>
      <c r="F2391">
        <v>4</v>
      </c>
      <c r="G2391">
        <v>100</v>
      </c>
    </row>
    <row r="2392" spans="1:7" ht="14" x14ac:dyDescent="0.3">
      <c r="A2392" t="s">
        <v>2420</v>
      </c>
      <c r="B2392" t="s">
        <v>8</v>
      </c>
      <c r="C2392">
        <v>5</v>
      </c>
      <c r="D2392">
        <v>5</v>
      </c>
      <c r="E2392">
        <v>207.38</v>
      </c>
      <c r="F2392">
        <v>4.4000000000000004</v>
      </c>
      <c r="G2392">
        <v>100</v>
      </c>
    </row>
    <row r="2393" spans="1:7" ht="14" x14ac:dyDescent="0.3">
      <c r="A2393" t="s">
        <v>2421</v>
      </c>
      <c r="B2393" t="s">
        <v>12</v>
      </c>
      <c r="C2393">
        <v>1</v>
      </c>
      <c r="D2393">
        <v>1</v>
      </c>
      <c r="E2393">
        <v>207.25</v>
      </c>
      <c r="F2393">
        <v>5</v>
      </c>
      <c r="G2393">
        <v>100</v>
      </c>
    </row>
    <row r="2394" spans="1:7" ht="14" x14ac:dyDescent="0.3">
      <c r="A2394" t="s">
        <v>2422</v>
      </c>
      <c r="B2394" t="s">
        <v>8</v>
      </c>
      <c r="C2394">
        <v>2</v>
      </c>
      <c r="D2394">
        <v>2</v>
      </c>
      <c r="E2394">
        <v>206.82</v>
      </c>
      <c r="F2394">
        <v>4.5</v>
      </c>
      <c r="G2394">
        <v>100</v>
      </c>
    </row>
    <row r="2395" spans="1:7" ht="14" x14ac:dyDescent="0.3">
      <c r="A2395" t="s">
        <v>2423</v>
      </c>
      <c r="B2395" t="s">
        <v>87</v>
      </c>
      <c r="C2395">
        <v>4</v>
      </c>
      <c r="D2395">
        <v>4</v>
      </c>
      <c r="E2395">
        <v>205.81</v>
      </c>
      <c r="F2395">
        <v>4.75</v>
      </c>
      <c r="G2395">
        <v>100</v>
      </c>
    </row>
    <row r="2396" spans="1:7" ht="14" x14ac:dyDescent="0.3">
      <c r="A2396" t="s">
        <v>2424</v>
      </c>
      <c r="B2396" t="s">
        <v>8</v>
      </c>
      <c r="C2396">
        <v>4</v>
      </c>
      <c r="D2396">
        <v>4</v>
      </c>
      <c r="E2396">
        <v>205.72</v>
      </c>
      <c r="F2396">
        <v>4</v>
      </c>
      <c r="G2396">
        <v>75</v>
      </c>
    </row>
    <row r="2397" spans="1:7" ht="14" x14ac:dyDescent="0.3">
      <c r="A2397" t="s">
        <v>2425</v>
      </c>
      <c r="B2397" t="s">
        <v>8</v>
      </c>
      <c r="C2397">
        <v>1</v>
      </c>
      <c r="D2397">
        <v>1</v>
      </c>
      <c r="E2397">
        <v>205.65</v>
      </c>
      <c r="F2397">
        <v>5</v>
      </c>
      <c r="G2397">
        <v>100</v>
      </c>
    </row>
    <row r="2398" spans="1:7" ht="14" x14ac:dyDescent="0.3">
      <c r="A2398" t="s">
        <v>2426</v>
      </c>
      <c r="B2398" t="s">
        <v>32</v>
      </c>
      <c r="C2398">
        <v>1</v>
      </c>
      <c r="D2398">
        <v>1</v>
      </c>
      <c r="E2398">
        <v>205.4</v>
      </c>
      <c r="F2398">
        <v>4</v>
      </c>
      <c r="G2398">
        <v>100</v>
      </c>
    </row>
    <row r="2399" spans="1:7" ht="14" x14ac:dyDescent="0.3">
      <c r="A2399" t="s">
        <v>2427</v>
      </c>
      <c r="B2399" t="s">
        <v>8</v>
      </c>
      <c r="C2399">
        <v>3</v>
      </c>
      <c r="D2399">
        <v>3</v>
      </c>
      <c r="E2399">
        <v>205.29</v>
      </c>
      <c r="F2399">
        <v>5</v>
      </c>
      <c r="G2399">
        <v>100</v>
      </c>
    </row>
    <row r="2400" spans="1:7" ht="14" x14ac:dyDescent="0.3">
      <c r="A2400" t="s">
        <v>2428</v>
      </c>
      <c r="B2400" t="s">
        <v>8</v>
      </c>
      <c r="C2400">
        <v>4</v>
      </c>
      <c r="D2400">
        <v>4</v>
      </c>
      <c r="E2400">
        <v>205.19</v>
      </c>
      <c r="F2400">
        <v>4.5</v>
      </c>
      <c r="G2400">
        <v>100</v>
      </c>
    </row>
    <row r="2401" spans="1:7" ht="14" x14ac:dyDescent="0.3">
      <c r="A2401" t="s">
        <v>2429</v>
      </c>
      <c r="B2401" t="s">
        <v>8</v>
      </c>
      <c r="C2401">
        <v>3</v>
      </c>
      <c r="D2401">
        <v>3</v>
      </c>
      <c r="E2401">
        <v>204.86</v>
      </c>
      <c r="F2401">
        <v>4.67</v>
      </c>
      <c r="G2401">
        <v>100</v>
      </c>
    </row>
    <row r="2402" spans="1:7" ht="14" x14ac:dyDescent="0.3">
      <c r="A2402" t="s">
        <v>2430</v>
      </c>
      <c r="B2402" t="s">
        <v>8</v>
      </c>
      <c r="C2402">
        <v>1</v>
      </c>
      <c r="D2402">
        <v>1</v>
      </c>
      <c r="E2402">
        <v>204.81</v>
      </c>
      <c r="F2402">
        <v>5</v>
      </c>
      <c r="G2402">
        <v>100</v>
      </c>
    </row>
    <row r="2403" spans="1:7" ht="14" x14ac:dyDescent="0.3">
      <c r="A2403" t="s">
        <v>2431</v>
      </c>
      <c r="B2403" t="s">
        <v>8</v>
      </c>
      <c r="C2403">
        <v>1</v>
      </c>
      <c r="D2403">
        <v>1</v>
      </c>
      <c r="E2403">
        <v>204.76</v>
      </c>
      <c r="F2403">
        <v>5</v>
      </c>
      <c r="G2403">
        <v>100</v>
      </c>
    </row>
    <row r="2404" spans="1:7" ht="14" x14ac:dyDescent="0.3">
      <c r="A2404" t="s">
        <v>2432</v>
      </c>
      <c r="B2404" t="s">
        <v>8</v>
      </c>
      <c r="C2404">
        <v>1</v>
      </c>
      <c r="D2404">
        <v>1</v>
      </c>
      <c r="E2404">
        <v>204.06</v>
      </c>
      <c r="F2404">
        <v>5</v>
      </c>
      <c r="G2404">
        <v>100</v>
      </c>
    </row>
    <row r="2405" spans="1:7" ht="14" x14ac:dyDescent="0.3">
      <c r="A2405" t="s">
        <v>2433</v>
      </c>
      <c r="B2405" t="s">
        <v>22</v>
      </c>
      <c r="C2405">
        <v>4</v>
      </c>
      <c r="D2405">
        <v>6</v>
      </c>
      <c r="E2405">
        <v>203.99</v>
      </c>
      <c r="F2405">
        <v>4.83</v>
      </c>
      <c r="G2405">
        <v>100</v>
      </c>
    </row>
    <row r="2406" spans="1:7" ht="14" x14ac:dyDescent="0.3">
      <c r="A2406" t="s">
        <v>2434</v>
      </c>
      <c r="B2406" t="s">
        <v>8</v>
      </c>
      <c r="C2406">
        <v>1</v>
      </c>
      <c r="D2406">
        <v>1</v>
      </c>
      <c r="E2406">
        <v>203.77</v>
      </c>
      <c r="F2406">
        <v>5</v>
      </c>
      <c r="G2406">
        <v>100</v>
      </c>
    </row>
    <row r="2407" spans="1:7" ht="14" x14ac:dyDescent="0.3">
      <c r="A2407" t="s">
        <v>2435</v>
      </c>
      <c r="B2407" t="s">
        <v>24</v>
      </c>
      <c r="C2407">
        <v>2</v>
      </c>
      <c r="D2407">
        <v>2</v>
      </c>
      <c r="E2407">
        <v>202.9</v>
      </c>
      <c r="F2407">
        <v>5</v>
      </c>
      <c r="G2407">
        <v>100</v>
      </c>
    </row>
    <row r="2408" spans="1:7" ht="14" x14ac:dyDescent="0.3">
      <c r="A2408" t="s">
        <v>2436</v>
      </c>
      <c r="B2408" t="s">
        <v>8</v>
      </c>
      <c r="C2408">
        <v>1</v>
      </c>
      <c r="D2408">
        <v>1</v>
      </c>
      <c r="E2408">
        <v>202.62</v>
      </c>
      <c r="F2408">
        <v>5</v>
      </c>
      <c r="G2408">
        <v>100</v>
      </c>
    </row>
    <row r="2409" spans="1:7" ht="14" x14ac:dyDescent="0.3">
      <c r="A2409" t="s">
        <v>2437</v>
      </c>
      <c r="B2409" t="s">
        <v>8</v>
      </c>
      <c r="C2409">
        <v>2</v>
      </c>
      <c r="D2409">
        <v>3</v>
      </c>
      <c r="E2409">
        <v>201.7</v>
      </c>
      <c r="F2409">
        <v>2.33</v>
      </c>
      <c r="G2409">
        <v>100</v>
      </c>
    </row>
    <row r="2410" spans="1:7" ht="14" x14ac:dyDescent="0.3">
      <c r="A2410" t="s">
        <v>2438</v>
      </c>
      <c r="B2410" t="s">
        <v>32</v>
      </c>
      <c r="C2410">
        <v>1</v>
      </c>
      <c r="D2410">
        <v>1</v>
      </c>
      <c r="E2410">
        <v>201.34</v>
      </c>
      <c r="F2410">
        <v>5</v>
      </c>
      <c r="G2410">
        <v>100</v>
      </c>
    </row>
    <row r="2411" spans="1:7" ht="14" x14ac:dyDescent="0.3">
      <c r="A2411" t="s">
        <v>2439</v>
      </c>
      <c r="B2411" t="s">
        <v>32</v>
      </c>
      <c r="C2411">
        <v>2</v>
      </c>
      <c r="D2411">
        <v>2</v>
      </c>
      <c r="E2411">
        <v>201.27</v>
      </c>
      <c r="F2411">
        <v>5</v>
      </c>
      <c r="G2411">
        <v>100</v>
      </c>
    </row>
    <row r="2412" spans="1:7" ht="14" x14ac:dyDescent="0.3">
      <c r="A2412" t="s">
        <v>2440</v>
      </c>
      <c r="B2412" t="s">
        <v>8</v>
      </c>
      <c r="C2412">
        <v>5</v>
      </c>
      <c r="D2412">
        <v>6</v>
      </c>
      <c r="E2412">
        <v>201.04</v>
      </c>
      <c r="F2412">
        <v>4.5</v>
      </c>
      <c r="G2412">
        <v>100</v>
      </c>
    </row>
    <row r="2413" spans="1:7" ht="14" x14ac:dyDescent="0.3">
      <c r="A2413" t="s">
        <v>2441</v>
      </c>
      <c r="B2413" t="s">
        <v>87</v>
      </c>
      <c r="C2413">
        <v>1</v>
      </c>
      <c r="D2413">
        <v>1</v>
      </c>
      <c r="E2413">
        <v>200.54</v>
      </c>
      <c r="F2413">
        <v>5</v>
      </c>
      <c r="G2413">
        <v>100</v>
      </c>
    </row>
    <row r="2414" spans="1:7" ht="14" x14ac:dyDescent="0.3">
      <c r="A2414" t="s">
        <v>2442</v>
      </c>
      <c r="B2414" t="s">
        <v>8</v>
      </c>
      <c r="C2414">
        <v>1</v>
      </c>
      <c r="D2414">
        <v>1</v>
      </c>
      <c r="E2414">
        <v>199.92</v>
      </c>
      <c r="F2414">
        <v>1</v>
      </c>
      <c r="G2414">
        <v>0</v>
      </c>
    </row>
    <row r="2415" spans="1:7" ht="14" x14ac:dyDescent="0.3">
      <c r="A2415" t="s">
        <v>2443</v>
      </c>
      <c r="B2415" t="s">
        <v>8</v>
      </c>
      <c r="C2415">
        <v>1</v>
      </c>
      <c r="D2415">
        <v>1</v>
      </c>
      <c r="E2415">
        <v>199.84</v>
      </c>
      <c r="F2415">
        <v>5</v>
      </c>
      <c r="G2415">
        <v>100</v>
      </c>
    </row>
    <row r="2416" spans="1:7" ht="14" x14ac:dyDescent="0.3">
      <c r="A2416" t="s">
        <v>2444</v>
      </c>
      <c r="B2416" t="s">
        <v>8</v>
      </c>
      <c r="C2416">
        <v>2</v>
      </c>
      <c r="D2416">
        <v>3</v>
      </c>
      <c r="E2416">
        <v>199.68</v>
      </c>
      <c r="F2416">
        <v>4.67</v>
      </c>
      <c r="G2416">
        <v>100</v>
      </c>
    </row>
    <row r="2417" spans="1:7" ht="14" x14ac:dyDescent="0.3">
      <c r="A2417" t="s">
        <v>2445</v>
      </c>
      <c r="B2417" t="s">
        <v>42</v>
      </c>
      <c r="C2417">
        <v>1</v>
      </c>
      <c r="D2417">
        <v>1</v>
      </c>
      <c r="E2417">
        <v>199.36</v>
      </c>
      <c r="F2417">
        <v>4</v>
      </c>
      <c r="G2417">
        <v>100</v>
      </c>
    </row>
    <row r="2418" spans="1:7" ht="14" x14ac:dyDescent="0.3">
      <c r="A2418" t="s">
        <v>2446</v>
      </c>
      <c r="B2418" t="s">
        <v>8</v>
      </c>
      <c r="C2418">
        <v>3</v>
      </c>
      <c r="D2418">
        <v>3</v>
      </c>
      <c r="E2418">
        <v>199.31</v>
      </c>
      <c r="F2418">
        <v>4.33</v>
      </c>
      <c r="G2418">
        <v>100</v>
      </c>
    </row>
    <row r="2419" spans="1:7" ht="14" x14ac:dyDescent="0.3">
      <c r="A2419" t="s">
        <v>2447</v>
      </c>
      <c r="B2419" t="s">
        <v>8</v>
      </c>
      <c r="C2419">
        <v>2</v>
      </c>
      <c r="D2419">
        <v>2</v>
      </c>
      <c r="E2419">
        <v>198.82</v>
      </c>
      <c r="F2419">
        <v>5</v>
      </c>
      <c r="G2419">
        <v>50</v>
      </c>
    </row>
    <row r="2420" spans="1:7" ht="14" x14ac:dyDescent="0.3">
      <c r="A2420" t="s">
        <v>2448</v>
      </c>
      <c r="B2420" t="s">
        <v>8</v>
      </c>
      <c r="C2420">
        <v>1</v>
      </c>
      <c r="D2420">
        <v>1</v>
      </c>
      <c r="E2420">
        <v>198.69</v>
      </c>
      <c r="F2420">
        <v>5</v>
      </c>
      <c r="G2420">
        <v>100</v>
      </c>
    </row>
    <row r="2421" spans="1:7" ht="14" x14ac:dyDescent="0.3">
      <c r="A2421" t="s">
        <v>2449</v>
      </c>
      <c r="B2421" t="s">
        <v>24</v>
      </c>
      <c r="C2421">
        <v>1</v>
      </c>
      <c r="D2421">
        <v>1</v>
      </c>
      <c r="E2421">
        <v>197.72</v>
      </c>
      <c r="F2421">
        <v>5</v>
      </c>
      <c r="G2421">
        <v>100</v>
      </c>
    </row>
    <row r="2422" spans="1:7" ht="14" x14ac:dyDescent="0.3">
      <c r="A2422" t="s">
        <v>2450</v>
      </c>
      <c r="B2422" t="s">
        <v>24</v>
      </c>
      <c r="C2422">
        <v>5</v>
      </c>
      <c r="D2422">
        <v>5</v>
      </c>
      <c r="E2422">
        <v>197.21</v>
      </c>
      <c r="F2422">
        <v>4.4000000000000004</v>
      </c>
      <c r="G2422">
        <v>100</v>
      </c>
    </row>
    <row r="2423" spans="1:7" ht="14" x14ac:dyDescent="0.3">
      <c r="A2423" t="s">
        <v>2451</v>
      </c>
      <c r="B2423" t="s">
        <v>8</v>
      </c>
      <c r="C2423">
        <v>4</v>
      </c>
      <c r="D2423">
        <v>4</v>
      </c>
      <c r="E2423">
        <v>197.02</v>
      </c>
      <c r="F2423">
        <v>4.75</v>
      </c>
      <c r="G2423">
        <v>100</v>
      </c>
    </row>
    <row r="2424" spans="1:7" ht="14" x14ac:dyDescent="0.3">
      <c r="A2424" t="s">
        <v>2452</v>
      </c>
      <c r="B2424" t="s">
        <v>32</v>
      </c>
      <c r="C2424">
        <v>2</v>
      </c>
      <c r="D2424">
        <v>2</v>
      </c>
      <c r="E2424">
        <v>196.4</v>
      </c>
      <c r="F2424">
        <v>3</v>
      </c>
      <c r="G2424">
        <v>100</v>
      </c>
    </row>
    <row r="2425" spans="1:7" ht="14" x14ac:dyDescent="0.3">
      <c r="A2425" t="s">
        <v>2453</v>
      </c>
      <c r="B2425" t="s">
        <v>8</v>
      </c>
      <c r="C2425">
        <v>1</v>
      </c>
      <c r="D2425">
        <v>1</v>
      </c>
      <c r="E2425">
        <v>196.27</v>
      </c>
      <c r="F2425">
        <v>5</v>
      </c>
      <c r="G2425">
        <v>100</v>
      </c>
    </row>
    <row r="2426" spans="1:7" ht="14" x14ac:dyDescent="0.3">
      <c r="A2426" t="s">
        <v>2454</v>
      </c>
      <c r="B2426" t="s">
        <v>24</v>
      </c>
      <c r="C2426">
        <v>1</v>
      </c>
      <c r="D2426">
        <v>1</v>
      </c>
      <c r="E2426">
        <v>196.11</v>
      </c>
      <c r="F2426">
        <v>2</v>
      </c>
      <c r="G2426">
        <v>100</v>
      </c>
    </row>
    <row r="2427" spans="1:7" ht="14" x14ac:dyDescent="0.3">
      <c r="A2427" t="s">
        <v>2455</v>
      </c>
      <c r="B2427" t="s">
        <v>32</v>
      </c>
      <c r="C2427">
        <v>1</v>
      </c>
      <c r="D2427">
        <v>1</v>
      </c>
      <c r="E2427">
        <v>195.43</v>
      </c>
      <c r="F2427">
        <v>1</v>
      </c>
      <c r="G2427">
        <v>0</v>
      </c>
    </row>
    <row r="2428" spans="1:7" ht="14" x14ac:dyDescent="0.3">
      <c r="A2428" t="s">
        <v>2456</v>
      </c>
      <c r="B2428" t="s">
        <v>8</v>
      </c>
      <c r="C2428">
        <v>1</v>
      </c>
      <c r="D2428">
        <v>1</v>
      </c>
      <c r="E2428">
        <v>194.85</v>
      </c>
      <c r="F2428">
        <v>5</v>
      </c>
      <c r="G2428">
        <v>100</v>
      </c>
    </row>
    <row r="2429" spans="1:7" ht="14" x14ac:dyDescent="0.3">
      <c r="A2429" t="s">
        <v>2457</v>
      </c>
      <c r="B2429" t="s">
        <v>32</v>
      </c>
      <c r="C2429">
        <v>2</v>
      </c>
      <c r="D2429">
        <v>4</v>
      </c>
      <c r="E2429">
        <v>194.78</v>
      </c>
      <c r="F2429">
        <v>3.5</v>
      </c>
      <c r="G2429">
        <v>100</v>
      </c>
    </row>
    <row r="2430" spans="1:7" ht="14" x14ac:dyDescent="0.3">
      <c r="A2430" t="s">
        <v>2458</v>
      </c>
      <c r="B2430" t="s">
        <v>8</v>
      </c>
      <c r="C2430">
        <v>3</v>
      </c>
      <c r="D2430">
        <v>3</v>
      </c>
      <c r="E2430">
        <v>194.24</v>
      </c>
      <c r="F2430">
        <v>4.67</v>
      </c>
      <c r="G2430">
        <v>100</v>
      </c>
    </row>
    <row r="2431" spans="1:7" ht="14" x14ac:dyDescent="0.3">
      <c r="A2431" t="s">
        <v>2459</v>
      </c>
      <c r="B2431" t="s">
        <v>8</v>
      </c>
      <c r="C2431">
        <v>3</v>
      </c>
      <c r="D2431">
        <v>4</v>
      </c>
      <c r="E2431">
        <v>193.15</v>
      </c>
      <c r="F2431">
        <v>3.75</v>
      </c>
      <c r="G2431">
        <v>100</v>
      </c>
    </row>
    <row r="2432" spans="1:7" ht="14" x14ac:dyDescent="0.3">
      <c r="A2432" t="s">
        <v>2460</v>
      </c>
      <c r="B2432" t="s">
        <v>24</v>
      </c>
      <c r="C2432">
        <v>1</v>
      </c>
      <c r="D2432">
        <v>1</v>
      </c>
      <c r="E2432">
        <v>192.94</v>
      </c>
      <c r="F2432">
        <v>4</v>
      </c>
      <c r="G2432">
        <v>100</v>
      </c>
    </row>
    <row r="2433" spans="1:7" ht="14" x14ac:dyDescent="0.3">
      <c r="A2433" t="s">
        <v>2461</v>
      </c>
      <c r="B2433" t="s">
        <v>8</v>
      </c>
      <c r="C2433">
        <v>2</v>
      </c>
      <c r="D2433">
        <v>2</v>
      </c>
      <c r="E2433">
        <v>192.62</v>
      </c>
      <c r="F2433">
        <v>4.5</v>
      </c>
      <c r="G2433">
        <v>100</v>
      </c>
    </row>
    <row r="2434" spans="1:7" ht="14" x14ac:dyDescent="0.3">
      <c r="A2434" t="s">
        <v>2462</v>
      </c>
      <c r="B2434" t="s">
        <v>87</v>
      </c>
      <c r="C2434">
        <v>2</v>
      </c>
      <c r="D2434">
        <v>2</v>
      </c>
      <c r="E2434">
        <v>192.46</v>
      </c>
      <c r="F2434">
        <v>5</v>
      </c>
      <c r="G2434">
        <v>100</v>
      </c>
    </row>
    <row r="2435" spans="1:7" ht="14" x14ac:dyDescent="0.3">
      <c r="A2435" t="s">
        <v>2463</v>
      </c>
      <c r="B2435" t="s">
        <v>8</v>
      </c>
      <c r="C2435">
        <v>2</v>
      </c>
      <c r="D2435">
        <v>3</v>
      </c>
      <c r="E2435">
        <v>192.26</v>
      </c>
      <c r="F2435">
        <v>5</v>
      </c>
      <c r="G2435">
        <v>100</v>
      </c>
    </row>
    <row r="2436" spans="1:7" ht="14" x14ac:dyDescent="0.3">
      <c r="A2436" t="s">
        <v>2464</v>
      </c>
      <c r="B2436" t="s">
        <v>8</v>
      </c>
      <c r="C2436">
        <v>3</v>
      </c>
      <c r="D2436">
        <v>3</v>
      </c>
      <c r="E2436">
        <v>192.1</v>
      </c>
      <c r="F2436">
        <v>4.67</v>
      </c>
      <c r="G2436">
        <v>100</v>
      </c>
    </row>
    <row r="2437" spans="1:7" ht="14" x14ac:dyDescent="0.3">
      <c r="A2437" t="s">
        <v>2465</v>
      </c>
      <c r="B2437" t="s">
        <v>32</v>
      </c>
      <c r="C2437">
        <v>3</v>
      </c>
      <c r="D2437">
        <v>3</v>
      </c>
      <c r="E2437">
        <v>192.04</v>
      </c>
      <c r="F2437">
        <v>3.33</v>
      </c>
      <c r="G2437">
        <v>100</v>
      </c>
    </row>
    <row r="2438" spans="1:7" ht="14" x14ac:dyDescent="0.3">
      <c r="A2438" t="s">
        <v>2466</v>
      </c>
      <c r="B2438" t="s">
        <v>87</v>
      </c>
      <c r="C2438">
        <v>3</v>
      </c>
      <c r="D2438">
        <v>3</v>
      </c>
      <c r="E2438">
        <v>191.56</v>
      </c>
      <c r="F2438">
        <v>4.67</v>
      </c>
      <c r="G2438">
        <v>100</v>
      </c>
    </row>
    <row r="2439" spans="1:7" ht="14" x14ac:dyDescent="0.3">
      <c r="A2439" t="s">
        <v>2467</v>
      </c>
      <c r="B2439" t="s">
        <v>8</v>
      </c>
      <c r="C2439">
        <v>2</v>
      </c>
      <c r="D2439">
        <v>2</v>
      </c>
      <c r="E2439">
        <v>191.43</v>
      </c>
      <c r="F2439">
        <v>3</v>
      </c>
      <c r="G2439">
        <v>100</v>
      </c>
    </row>
    <row r="2440" spans="1:7" ht="14" x14ac:dyDescent="0.3">
      <c r="A2440" t="s">
        <v>2468</v>
      </c>
      <c r="B2440" t="s">
        <v>8</v>
      </c>
      <c r="C2440">
        <v>3</v>
      </c>
      <c r="D2440">
        <v>4</v>
      </c>
      <c r="E2440">
        <v>191.35</v>
      </c>
      <c r="F2440">
        <v>5</v>
      </c>
      <c r="G2440">
        <v>100</v>
      </c>
    </row>
    <row r="2441" spans="1:7" ht="14" x14ac:dyDescent="0.3">
      <c r="A2441" t="s">
        <v>2469</v>
      </c>
      <c r="B2441" t="s">
        <v>22</v>
      </c>
      <c r="C2441">
        <v>4</v>
      </c>
      <c r="D2441">
        <v>4</v>
      </c>
      <c r="E2441">
        <v>191.06</v>
      </c>
      <c r="F2441">
        <v>5</v>
      </c>
      <c r="G2441">
        <v>100</v>
      </c>
    </row>
    <row r="2442" spans="1:7" ht="14" x14ac:dyDescent="0.3">
      <c r="A2442" t="s">
        <v>2470</v>
      </c>
      <c r="B2442" t="s">
        <v>42</v>
      </c>
      <c r="C2442">
        <v>1</v>
      </c>
      <c r="D2442">
        <v>1</v>
      </c>
      <c r="E2442">
        <v>190.98</v>
      </c>
      <c r="F2442">
        <v>5</v>
      </c>
      <c r="G2442">
        <v>100</v>
      </c>
    </row>
    <row r="2443" spans="1:7" ht="14" x14ac:dyDescent="0.3">
      <c r="A2443" t="s">
        <v>2471</v>
      </c>
      <c r="B2443" t="s">
        <v>8</v>
      </c>
      <c r="C2443">
        <v>2</v>
      </c>
      <c r="D2443">
        <v>2</v>
      </c>
      <c r="E2443">
        <v>190.13</v>
      </c>
      <c r="F2443">
        <v>3</v>
      </c>
      <c r="G2443">
        <v>50</v>
      </c>
    </row>
    <row r="2444" spans="1:7" ht="14" x14ac:dyDescent="0.3">
      <c r="A2444" t="s">
        <v>2472</v>
      </c>
      <c r="B2444" t="s">
        <v>8</v>
      </c>
      <c r="C2444">
        <v>4</v>
      </c>
      <c r="D2444">
        <v>4</v>
      </c>
      <c r="E2444">
        <v>189.68</v>
      </c>
      <c r="F2444">
        <v>4</v>
      </c>
      <c r="G2444">
        <v>100</v>
      </c>
    </row>
    <row r="2445" spans="1:7" ht="14" x14ac:dyDescent="0.3">
      <c r="A2445" t="s">
        <v>2473</v>
      </c>
      <c r="B2445" t="s">
        <v>22</v>
      </c>
      <c r="C2445">
        <v>2</v>
      </c>
      <c r="D2445">
        <v>2</v>
      </c>
      <c r="E2445">
        <v>189.01</v>
      </c>
      <c r="F2445">
        <v>5</v>
      </c>
      <c r="G2445">
        <v>100</v>
      </c>
    </row>
    <row r="2446" spans="1:7" ht="14" x14ac:dyDescent="0.3">
      <c r="A2446" t="s">
        <v>2474</v>
      </c>
      <c r="B2446" t="s">
        <v>8</v>
      </c>
      <c r="C2446">
        <v>3</v>
      </c>
      <c r="D2446">
        <v>3</v>
      </c>
      <c r="E2446">
        <v>188.5</v>
      </c>
      <c r="F2446">
        <v>3</v>
      </c>
      <c r="G2446">
        <v>66.7</v>
      </c>
    </row>
    <row r="2447" spans="1:7" ht="14" x14ac:dyDescent="0.3">
      <c r="A2447" t="s">
        <v>2475</v>
      </c>
      <c r="B2447" t="s">
        <v>8</v>
      </c>
      <c r="C2447">
        <v>1</v>
      </c>
      <c r="D2447">
        <v>1</v>
      </c>
      <c r="E2447">
        <v>188.42</v>
      </c>
      <c r="F2447">
        <v>5</v>
      </c>
      <c r="G2447">
        <v>100</v>
      </c>
    </row>
    <row r="2448" spans="1:7" ht="14" x14ac:dyDescent="0.3">
      <c r="A2448" t="s">
        <v>2476</v>
      </c>
      <c r="B2448" t="s">
        <v>32</v>
      </c>
      <c r="C2448">
        <v>5</v>
      </c>
      <c r="D2448">
        <v>5</v>
      </c>
      <c r="E2448">
        <v>187.81</v>
      </c>
      <c r="F2448">
        <v>4.4000000000000004</v>
      </c>
      <c r="G2448">
        <v>100</v>
      </c>
    </row>
    <row r="2449" spans="1:7" ht="14" x14ac:dyDescent="0.3">
      <c r="A2449" t="s">
        <v>2477</v>
      </c>
      <c r="B2449" t="s">
        <v>8</v>
      </c>
      <c r="C2449">
        <v>2</v>
      </c>
      <c r="D2449">
        <v>2</v>
      </c>
      <c r="E2449">
        <v>187.42</v>
      </c>
      <c r="F2449">
        <v>2.5</v>
      </c>
      <c r="G2449">
        <v>100</v>
      </c>
    </row>
    <row r="2450" spans="1:7" ht="14" x14ac:dyDescent="0.3">
      <c r="A2450" t="s">
        <v>2478</v>
      </c>
      <c r="B2450" t="s">
        <v>418</v>
      </c>
      <c r="C2450">
        <v>3</v>
      </c>
      <c r="D2450">
        <v>3</v>
      </c>
      <c r="E2450">
        <v>187.2</v>
      </c>
      <c r="F2450">
        <v>3.67</v>
      </c>
      <c r="G2450">
        <v>66.7</v>
      </c>
    </row>
    <row r="2451" spans="1:7" ht="14" x14ac:dyDescent="0.3">
      <c r="A2451" t="s">
        <v>2479</v>
      </c>
      <c r="B2451" t="s">
        <v>8</v>
      </c>
      <c r="C2451">
        <v>3</v>
      </c>
      <c r="D2451">
        <v>4</v>
      </c>
      <c r="E2451">
        <v>186.82</v>
      </c>
      <c r="F2451">
        <v>4</v>
      </c>
      <c r="G2451">
        <v>100</v>
      </c>
    </row>
    <row r="2452" spans="1:7" ht="14" x14ac:dyDescent="0.3">
      <c r="A2452" t="s">
        <v>2480</v>
      </c>
      <c r="B2452" t="s">
        <v>309</v>
      </c>
      <c r="C2452">
        <v>1</v>
      </c>
      <c r="D2452">
        <v>1</v>
      </c>
      <c r="E2452">
        <v>185.88</v>
      </c>
      <c r="F2452">
        <v>5</v>
      </c>
      <c r="G2452">
        <v>100</v>
      </c>
    </row>
    <row r="2453" spans="1:7" ht="14" x14ac:dyDescent="0.3">
      <c r="A2453" t="s">
        <v>2481</v>
      </c>
      <c r="B2453" t="s">
        <v>32</v>
      </c>
      <c r="C2453">
        <v>2</v>
      </c>
      <c r="D2453">
        <v>2</v>
      </c>
      <c r="E2453">
        <v>185.87</v>
      </c>
      <c r="F2453">
        <v>5</v>
      </c>
      <c r="G2453">
        <v>100</v>
      </c>
    </row>
    <row r="2454" spans="1:7" ht="14" x14ac:dyDescent="0.3">
      <c r="A2454" t="s">
        <v>2482</v>
      </c>
      <c r="B2454" t="s">
        <v>87</v>
      </c>
      <c r="C2454">
        <v>2</v>
      </c>
      <c r="D2454">
        <v>3</v>
      </c>
      <c r="E2454">
        <v>185.8</v>
      </c>
      <c r="F2454">
        <v>4.67</v>
      </c>
      <c r="G2454">
        <v>100</v>
      </c>
    </row>
    <row r="2455" spans="1:7" ht="14" x14ac:dyDescent="0.3">
      <c r="A2455" t="s">
        <v>2483</v>
      </c>
      <c r="B2455" t="s">
        <v>8</v>
      </c>
      <c r="C2455">
        <v>1</v>
      </c>
      <c r="D2455">
        <v>1</v>
      </c>
      <c r="E2455">
        <v>184.71</v>
      </c>
      <c r="F2455">
        <v>5</v>
      </c>
      <c r="G2455">
        <v>100</v>
      </c>
    </row>
    <row r="2456" spans="1:7" ht="14" x14ac:dyDescent="0.3">
      <c r="A2456" t="s">
        <v>2484</v>
      </c>
      <c r="B2456" t="s">
        <v>87</v>
      </c>
      <c r="C2456">
        <v>2</v>
      </c>
      <c r="D2456">
        <v>2</v>
      </c>
      <c r="E2456">
        <v>183.94</v>
      </c>
      <c r="F2456">
        <v>1.5</v>
      </c>
      <c r="G2456">
        <v>100</v>
      </c>
    </row>
    <row r="2457" spans="1:7" ht="14" x14ac:dyDescent="0.3">
      <c r="A2457" t="s">
        <v>2485</v>
      </c>
      <c r="B2457" t="s">
        <v>24</v>
      </c>
      <c r="C2457">
        <v>2</v>
      </c>
      <c r="D2457">
        <v>2</v>
      </c>
      <c r="E2457">
        <v>183.89</v>
      </c>
      <c r="F2457">
        <v>4.5</v>
      </c>
      <c r="G2457">
        <v>100</v>
      </c>
    </row>
    <row r="2458" spans="1:7" ht="14" x14ac:dyDescent="0.3">
      <c r="A2458" t="s">
        <v>2486</v>
      </c>
      <c r="B2458" t="s">
        <v>309</v>
      </c>
      <c r="C2458">
        <v>2</v>
      </c>
      <c r="D2458">
        <v>2</v>
      </c>
      <c r="E2458">
        <v>183.63</v>
      </c>
      <c r="F2458">
        <v>5</v>
      </c>
      <c r="G2458">
        <v>100</v>
      </c>
    </row>
    <row r="2459" spans="1:7" ht="14" x14ac:dyDescent="0.3">
      <c r="A2459" t="s">
        <v>2487</v>
      </c>
      <c r="B2459" t="s">
        <v>24</v>
      </c>
      <c r="C2459">
        <v>4</v>
      </c>
      <c r="D2459">
        <v>4</v>
      </c>
      <c r="E2459">
        <v>183.53</v>
      </c>
      <c r="F2459">
        <v>3.5</v>
      </c>
      <c r="G2459">
        <v>100</v>
      </c>
    </row>
    <row r="2460" spans="1:7" ht="14" x14ac:dyDescent="0.3">
      <c r="A2460" s="1" t="s">
        <v>2488</v>
      </c>
      <c r="B2460" t="s">
        <v>8</v>
      </c>
      <c r="C2460">
        <v>1</v>
      </c>
      <c r="D2460">
        <v>1</v>
      </c>
      <c r="E2460">
        <v>182.45</v>
      </c>
      <c r="F2460">
        <v>5</v>
      </c>
      <c r="G2460">
        <v>100</v>
      </c>
    </row>
    <row r="2461" spans="1:7" ht="14" x14ac:dyDescent="0.3">
      <c r="A2461" t="s">
        <v>2489</v>
      </c>
      <c r="B2461" t="s">
        <v>87</v>
      </c>
      <c r="C2461">
        <v>2</v>
      </c>
      <c r="D2461">
        <v>2</v>
      </c>
      <c r="E2461">
        <v>182.39</v>
      </c>
      <c r="F2461">
        <v>3</v>
      </c>
      <c r="G2461">
        <v>50</v>
      </c>
    </row>
    <row r="2462" spans="1:7" ht="14" x14ac:dyDescent="0.3">
      <c r="A2462" t="s">
        <v>2490</v>
      </c>
      <c r="B2462" t="s">
        <v>8</v>
      </c>
      <c r="C2462">
        <v>1</v>
      </c>
      <c r="D2462">
        <v>2</v>
      </c>
      <c r="E2462">
        <v>182.34</v>
      </c>
      <c r="F2462">
        <v>3</v>
      </c>
      <c r="G2462">
        <v>100</v>
      </c>
    </row>
    <row r="2463" spans="1:7" ht="14" x14ac:dyDescent="0.3">
      <c r="A2463" t="s">
        <v>2491</v>
      </c>
      <c r="B2463" t="s">
        <v>8</v>
      </c>
      <c r="C2463">
        <v>4</v>
      </c>
      <c r="D2463">
        <v>4</v>
      </c>
      <c r="E2463">
        <v>182.22</v>
      </c>
      <c r="F2463">
        <v>4.5</v>
      </c>
      <c r="G2463">
        <v>75</v>
      </c>
    </row>
    <row r="2464" spans="1:7" ht="14" x14ac:dyDescent="0.3">
      <c r="A2464" t="s">
        <v>2492</v>
      </c>
      <c r="B2464" t="s">
        <v>8</v>
      </c>
      <c r="C2464">
        <v>3</v>
      </c>
      <c r="D2464">
        <v>3</v>
      </c>
      <c r="E2464">
        <v>182.04</v>
      </c>
      <c r="F2464">
        <v>3.33</v>
      </c>
      <c r="G2464">
        <v>100</v>
      </c>
    </row>
    <row r="2465" spans="1:7" ht="14" x14ac:dyDescent="0.3">
      <c r="A2465" t="s">
        <v>2493</v>
      </c>
      <c r="B2465" t="s">
        <v>8</v>
      </c>
      <c r="C2465">
        <v>2</v>
      </c>
      <c r="D2465">
        <v>2</v>
      </c>
      <c r="E2465">
        <v>181.94</v>
      </c>
      <c r="F2465">
        <v>4</v>
      </c>
      <c r="G2465">
        <v>100</v>
      </c>
    </row>
    <row r="2466" spans="1:7" ht="14" x14ac:dyDescent="0.3">
      <c r="A2466" t="s">
        <v>2494</v>
      </c>
      <c r="B2466" t="s">
        <v>8</v>
      </c>
      <c r="C2466">
        <v>2</v>
      </c>
      <c r="D2466">
        <v>2</v>
      </c>
      <c r="E2466">
        <v>181.32</v>
      </c>
      <c r="F2466">
        <v>4.5</v>
      </c>
      <c r="G2466">
        <v>100</v>
      </c>
    </row>
    <row r="2467" spans="1:7" ht="14" x14ac:dyDescent="0.3">
      <c r="A2467" t="s">
        <v>2495</v>
      </c>
      <c r="B2467" t="s">
        <v>8</v>
      </c>
      <c r="C2467">
        <v>2</v>
      </c>
      <c r="D2467">
        <v>2</v>
      </c>
      <c r="E2467">
        <v>180.53</v>
      </c>
      <c r="F2467">
        <v>4.5</v>
      </c>
      <c r="G2467">
        <v>100</v>
      </c>
    </row>
    <row r="2468" spans="1:7" ht="14" x14ac:dyDescent="0.3">
      <c r="A2468" t="s">
        <v>2496</v>
      </c>
      <c r="B2468" t="s">
        <v>42</v>
      </c>
      <c r="C2468">
        <v>1</v>
      </c>
      <c r="D2468">
        <v>1</v>
      </c>
      <c r="E2468">
        <v>179.12</v>
      </c>
      <c r="F2468">
        <v>1</v>
      </c>
      <c r="G2468">
        <v>100</v>
      </c>
    </row>
    <row r="2469" spans="1:7" ht="14" x14ac:dyDescent="0.3">
      <c r="A2469" t="s">
        <v>2497</v>
      </c>
      <c r="B2469" t="s">
        <v>8</v>
      </c>
      <c r="C2469">
        <v>1</v>
      </c>
      <c r="D2469">
        <v>1</v>
      </c>
      <c r="E2469">
        <v>178.92</v>
      </c>
      <c r="F2469">
        <v>5</v>
      </c>
      <c r="G2469">
        <v>100</v>
      </c>
    </row>
    <row r="2470" spans="1:7" ht="14" x14ac:dyDescent="0.3">
      <c r="A2470" t="s">
        <v>2498</v>
      </c>
      <c r="B2470" t="s">
        <v>8</v>
      </c>
      <c r="C2470">
        <v>1</v>
      </c>
      <c r="D2470">
        <v>1</v>
      </c>
      <c r="E2470">
        <v>178.04</v>
      </c>
      <c r="F2470">
        <v>1</v>
      </c>
      <c r="G2470">
        <v>0</v>
      </c>
    </row>
    <row r="2471" spans="1:7" ht="14" x14ac:dyDescent="0.3">
      <c r="A2471" t="s">
        <v>2499</v>
      </c>
      <c r="B2471" t="s">
        <v>8</v>
      </c>
      <c r="C2471">
        <v>5</v>
      </c>
      <c r="D2471">
        <v>5</v>
      </c>
      <c r="E2471">
        <v>178.01</v>
      </c>
      <c r="F2471">
        <v>4.5999999999999996</v>
      </c>
      <c r="G2471">
        <v>100</v>
      </c>
    </row>
    <row r="2472" spans="1:7" ht="14" x14ac:dyDescent="0.3">
      <c r="A2472" t="s">
        <v>2500</v>
      </c>
      <c r="B2472" t="s">
        <v>32</v>
      </c>
      <c r="C2472">
        <v>2</v>
      </c>
      <c r="D2472">
        <v>2</v>
      </c>
      <c r="E2472">
        <v>177.94</v>
      </c>
      <c r="F2472">
        <v>4.5</v>
      </c>
      <c r="G2472">
        <v>100</v>
      </c>
    </row>
    <row r="2473" spans="1:7" ht="14" x14ac:dyDescent="0.3">
      <c r="A2473" t="s">
        <v>2501</v>
      </c>
      <c r="B2473" t="s">
        <v>8</v>
      </c>
      <c r="C2473">
        <v>2</v>
      </c>
      <c r="D2473">
        <v>2</v>
      </c>
      <c r="E2473">
        <v>177.42</v>
      </c>
      <c r="F2473">
        <v>4.5</v>
      </c>
      <c r="G2473">
        <v>100</v>
      </c>
    </row>
    <row r="2474" spans="1:7" ht="14" x14ac:dyDescent="0.3">
      <c r="A2474" t="s">
        <v>2502</v>
      </c>
      <c r="B2474" t="s">
        <v>8</v>
      </c>
      <c r="C2474">
        <v>4</v>
      </c>
      <c r="D2474">
        <v>6</v>
      </c>
      <c r="E2474">
        <v>177.24</v>
      </c>
      <c r="F2474">
        <v>4.67</v>
      </c>
      <c r="G2474">
        <v>100</v>
      </c>
    </row>
    <row r="2475" spans="1:7" ht="14" x14ac:dyDescent="0.3">
      <c r="A2475" t="s">
        <v>2503</v>
      </c>
      <c r="B2475" t="s">
        <v>8</v>
      </c>
      <c r="C2475">
        <v>1</v>
      </c>
      <c r="D2475">
        <v>3</v>
      </c>
      <c r="E2475">
        <v>176.97</v>
      </c>
      <c r="F2475">
        <v>1</v>
      </c>
      <c r="G2475">
        <v>100</v>
      </c>
    </row>
    <row r="2476" spans="1:7" ht="14" x14ac:dyDescent="0.3">
      <c r="A2476" t="s">
        <v>2504</v>
      </c>
      <c r="B2476" t="s">
        <v>8</v>
      </c>
      <c r="C2476">
        <v>1</v>
      </c>
      <c r="D2476">
        <v>1</v>
      </c>
      <c r="E2476">
        <v>176.76</v>
      </c>
      <c r="F2476">
        <v>3</v>
      </c>
      <c r="G2476">
        <v>100</v>
      </c>
    </row>
    <row r="2477" spans="1:7" ht="14" x14ac:dyDescent="0.3">
      <c r="A2477" t="s">
        <v>2505</v>
      </c>
      <c r="B2477" t="s">
        <v>8</v>
      </c>
      <c r="C2477">
        <v>2</v>
      </c>
      <c r="D2477">
        <v>2</v>
      </c>
      <c r="E2477">
        <v>176.14</v>
      </c>
      <c r="F2477">
        <v>5</v>
      </c>
      <c r="G2477">
        <v>100</v>
      </c>
    </row>
    <row r="2478" spans="1:7" ht="14" x14ac:dyDescent="0.3">
      <c r="A2478" t="s">
        <v>2506</v>
      </c>
      <c r="B2478" t="s">
        <v>8</v>
      </c>
      <c r="C2478">
        <v>2</v>
      </c>
      <c r="D2478">
        <v>2</v>
      </c>
      <c r="E2478">
        <v>175.14</v>
      </c>
      <c r="F2478">
        <v>1</v>
      </c>
      <c r="G2478">
        <v>50</v>
      </c>
    </row>
    <row r="2479" spans="1:7" ht="14" x14ac:dyDescent="0.3">
      <c r="A2479" t="s">
        <v>2507</v>
      </c>
      <c r="B2479" t="s">
        <v>22</v>
      </c>
      <c r="C2479">
        <v>1</v>
      </c>
      <c r="D2479">
        <v>1</v>
      </c>
      <c r="E2479">
        <v>175.09</v>
      </c>
      <c r="F2479">
        <v>5</v>
      </c>
      <c r="G2479">
        <v>100</v>
      </c>
    </row>
    <row r="2480" spans="1:7" ht="14" x14ac:dyDescent="0.3">
      <c r="A2480" t="s">
        <v>2508</v>
      </c>
      <c r="B2480" t="s">
        <v>32</v>
      </c>
      <c r="C2480">
        <v>2</v>
      </c>
      <c r="D2480">
        <v>3</v>
      </c>
      <c r="E2480">
        <v>174.8</v>
      </c>
      <c r="F2480">
        <v>2.33</v>
      </c>
      <c r="G2480">
        <v>100</v>
      </c>
    </row>
    <row r="2481" spans="1:7" ht="14" x14ac:dyDescent="0.3">
      <c r="A2481" t="s">
        <v>2509</v>
      </c>
      <c r="B2481" t="s">
        <v>87</v>
      </c>
      <c r="C2481">
        <v>1</v>
      </c>
      <c r="D2481">
        <v>1</v>
      </c>
      <c r="E2481">
        <v>174.68</v>
      </c>
      <c r="F2481">
        <v>4</v>
      </c>
      <c r="G2481">
        <v>100</v>
      </c>
    </row>
    <row r="2482" spans="1:7" ht="14" x14ac:dyDescent="0.3">
      <c r="A2482" t="s">
        <v>2510</v>
      </c>
      <c r="B2482" t="s">
        <v>42</v>
      </c>
      <c r="C2482">
        <v>3</v>
      </c>
      <c r="D2482">
        <v>3</v>
      </c>
      <c r="E2482">
        <v>174.61</v>
      </c>
      <c r="F2482">
        <v>5</v>
      </c>
      <c r="G2482">
        <v>100</v>
      </c>
    </row>
    <row r="2483" spans="1:7" ht="14" x14ac:dyDescent="0.3">
      <c r="A2483" t="s">
        <v>2511</v>
      </c>
      <c r="B2483" t="s">
        <v>8</v>
      </c>
      <c r="C2483">
        <v>4</v>
      </c>
      <c r="D2483">
        <v>4</v>
      </c>
      <c r="E2483">
        <v>174.28</v>
      </c>
      <c r="F2483">
        <v>4</v>
      </c>
      <c r="G2483">
        <v>100</v>
      </c>
    </row>
    <row r="2484" spans="1:7" ht="14" x14ac:dyDescent="0.3">
      <c r="A2484" t="s">
        <v>2512</v>
      </c>
      <c r="B2484" t="s">
        <v>22</v>
      </c>
      <c r="C2484">
        <v>1</v>
      </c>
      <c r="D2484">
        <v>1</v>
      </c>
      <c r="E2484">
        <v>174.21</v>
      </c>
      <c r="F2484">
        <v>5</v>
      </c>
      <c r="G2484">
        <v>100</v>
      </c>
    </row>
    <row r="2485" spans="1:7" ht="14" x14ac:dyDescent="0.3">
      <c r="A2485" t="s">
        <v>2513</v>
      </c>
      <c r="B2485" t="s">
        <v>8</v>
      </c>
      <c r="C2485">
        <v>1</v>
      </c>
      <c r="D2485">
        <v>1</v>
      </c>
      <c r="E2485">
        <v>173.68</v>
      </c>
      <c r="F2485">
        <v>5</v>
      </c>
      <c r="G2485">
        <v>100</v>
      </c>
    </row>
    <row r="2486" spans="1:7" ht="14" x14ac:dyDescent="0.3">
      <c r="A2486" t="s">
        <v>2514</v>
      </c>
      <c r="B2486" t="s">
        <v>87</v>
      </c>
      <c r="C2486">
        <v>1</v>
      </c>
      <c r="D2486">
        <v>1</v>
      </c>
      <c r="E2486">
        <v>173.23</v>
      </c>
      <c r="F2486">
        <v>5</v>
      </c>
      <c r="G2486">
        <v>100</v>
      </c>
    </row>
    <row r="2487" spans="1:7" ht="14" x14ac:dyDescent="0.3">
      <c r="A2487" t="s">
        <v>2515</v>
      </c>
      <c r="B2487" t="s">
        <v>8</v>
      </c>
      <c r="C2487">
        <v>1</v>
      </c>
      <c r="D2487">
        <v>1</v>
      </c>
      <c r="E2487">
        <v>172.04</v>
      </c>
      <c r="F2487">
        <v>5</v>
      </c>
      <c r="G2487">
        <v>100</v>
      </c>
    </row>
    <row r="2488" spans="1:7" ht="14" x14ac:dyDescent="0.3">
      <c r="A2488" t="s">
        <v>2516</v>
      </c>
      <c r="B2488" t="s">
        <v>8</v>
      </c>
      <c r="C2488">
        <v>4</v>
      </c>
      <c r="D2488">
        <v>4</v>
      </c>
      <c r="E2488">
        <v>171.88</v>
      </c>
      <c r="F2488">
        <v>5</v>
      </c>
      <c r="G2488">
        <v>100</v>
      </c>
    </row>
    <row r="2489" spans="1:7" ht="14" x14ac:dyDescent="0.3">
      <c r="A2489" t="s">
        <v>2517</v>
      </c>
      <c r="B2489" t="s">
        <v>8</v>
      </c>
      <c r="C2489">
        <v>2</v>
      </c>
      <c r="D2489">
        <v>2</v>
      </c>
      <c r="E2489">
        <v>171.85</v>
      </c>
      <c r="F2489">
        <v>4.5</v>
      </c>
      <c r="G2489">
        <v>100</v>
      </c>
    </row>
    <row r="2490" spans="1:7" ht="14" x14ac:dyDescent="0.3">
      <c r="A2490" t="s">
        <v>2518</v>
      </c>
      <c r="B2490" t="s">
        <v>8</v>
      </c>
      <c r="C2490">
        <v>2</v>
      </c>
      <c r="D2490">
        <v>2</v>
      </c>
      <c r="E2490">
        <v>171.39</v>
      </c>
      <c r="F2490">
        <v>4</v>
      </c>
      <c r="G2490">
        <v>100</v>
      </c>
    </row>
    <row r="2491" spans="1:7" ht="14" x14ac:dyDescent="0.3">
      <c r="A2491" t="s">
        <v>2519</v>
      </c>
      <c r="B2491" t="s">
        <v>8</v>
      </c>
      <c r="C2491">
        <v>5</v>
      </c>
      <c r="D2491">
        <v>5</v>
      </c>
      <c r="E2491">
        <v>171.25</v>
      </c>
      <c r="F2491">
        <v>4</v>
      </c>
      <c r="G2491">
        <v>80</v>
      </c>
    </row>
    <row r="2492" spans="1:7" ht="14" x14ac:dyDescent="0.3">
      <c r="A2492" t="s">
        <v>2520</v>
      </c>
      <c r="B2492" t="s">
        <v>8</v>
      </c>
      <c r="C2492">
        <v>3</v>
      </c>
      <c r="D2492">
        <v>4</v>
      </c>
      <c r="E2492">
        <v>170.99</v>
      </c>
      <c r="F2492">
        <v>3.5</v>
      </c>
      <c r="G2492">
        <v>100</v>
      </c>
    </row>
    <row r="2493" spans="1:7" ht="14" x14ac:dyDescent="0.3">
      <c r="A2493" t="s">
        <v>2521</v>
      </c>
      <c r="B2493" t="s">
        <v>87</v>
      </c>
      <c r="C2493">
        <v>2</v>
      </c>
      <c r="D2493">
        <v>3</v>
      </c>
      <c r="E2493">
        <v>170.91</v>
      </c>
      <c r="F2493">
        <v>5</v>
      </c>
      <c r="G2493">
        <v>100</v>
      </c>
    </row>
    <row r="2494" spans="1:7" ht="14" x14ac:dyDescent="0.3">
      <c r="A2494" t="s">
        <v>2522</v>
      </c>
      <c r="B2494" t="s">
        <v>32</v>
      </c>
      <c r="C2494">
        <v>1</v>
      </c>
      <c r="D2494">
        <v>1</v>
      </c>
      <c r="E2494">
        <v>170.29</v>
      </c>
      <c r="F2494">
        <v>5</v>
      </c>
      <c r="G2494">
        <v>100</v>
      </c>
    </row>
    <row r="2495" spans="1:7" ht="14" x14ac:dyDescent="0.3">
      <c r="A2495" t="s">
        <v>2523</v>
      </c>
      <c r="B2495" t="s">
        <v>8</v>
      </c>
      <c r="C2495">
        <v>1</v>
      </c>
      <c r="D2495">
        <v>1</v>
      </c>
      <c r="E2495">
        <v>169.39</v>
      </c>
      <c r="F2495">
        <v>5</v>
      </c>
      <c r="G2495">
        <v>100</v>
      </c>
    </row>
    <row r="2496" spans="1:7" ht="14" x14ac:dyDescent="0.3">
      <c r="A2496" t="s">
        <v>2524</v>
      </c>
      <c r="B2496" t="s">
        <v>8</v>
      </c>
      <c r="C2496">
        <v>1</v>
      </c>
      <c r="D2496">
        <v>1</v>
      </c>
      <c r="E2496">
        <v>169.15</v>
      </c>
      <c r="F2496">
        <v>4</v>
      </c>
      <c r="G2496">
        <v>100</v>
      </c>
    </row>
    <row r="2497" spans="1:7" ht="14" x14ac:dyDescent="0.3">
      <c r="A2497" t="s">
        <v>2525</v>
      </c>
      <c r="B2497" t="s">
        <v>309</v>
      </c>
      <c r="C2497">
        <v>1</v>
      </c>
      <c r="D2497">
        <v>1</v>
      </c>
      <c r="E2497">
        <v>169.01</v>
      </c>
      <c r="F2497">
        <v>5</v>
      </c>
      <c r="G2497">
        <v>100</v>
      </c>
    </row>
    <row r="2498" spans="1:7" ht="14" x14ac:dyDescent="0.3">
      <c r="A2498" t="s">
        <v>2526</v>
      </c>
      <c r="B2498" t="s">
        <v>24</v>
      </c>
      <c r="C2498">
        <v>1</v>
      </c>
      <c r="D2498">
        <v>1</v>
      </c>
      <c r="E2498">
        <v>169</v>
      </c>
      <c r="F2498">
        <v>5</v>
      </c>
      <c r="G2498">
        <v>100</v>
      </c>
    </row>
    <row r="2499" spans="1:7" ht="14" x14ac:dyDescent="0.3">
      <c r="A2499" t="s">
        <v>2527</v>
      </c>
      <c r="B2499" t="s">
        <v>8</v>
      </c>
      <c r="C2499">
        <v>1</v>
      </c>
      <c r="D2499">
        <v>1</v>
      </c>
      <c r="E2499">
        <v>168.63</v>
      </c>
      <c r="F2499">
        <v>5</v>
      </c>
      <c r="G2499">
        <v>100</v>
      </c>
    </row>
    <row r="2500" spans="1:7" ht="14" x14ac:dyDescent="0.3">
      <c r="A2500" t="s">
        <v>2528</v>
      </c>
      <c r="B2500" t="s">
        <v>8</v>
      </c>
      <c r="C2500">
        <v>1</v>
      </c>
      <c r="D2500">
        <v>1</v>
      </c>
      <c r="E2500">
        <v>168.36</v>
      </c>
      <c r="F2500">
        <v>4</v>
      </c>
      <c r="G2500">
        <v>100</v>
      </c>
    </row>
    <row r="2501" spans="1:7" ht="14" x14ac:dyDescent="0.3">
      <c r="A2501" t="s">
        <v>2529</v>
      </c>
      <c r="B2501" t="s">
        <v>8</v>
      </c>
      <c r="C2501">
        <v>1</v>
      </c>
      <c r="D2501">
        <v>1</v>
      </c>
      <c r="E2501">
        <v>168.29</v>
      </c>
      <c r="F2501">
        <v>1</v>
      </c>
      <c r="G2501">
        <v>100</v>
      </c>
    </row>
    <row r="2502" spans="1:7" ht="14" x14ac:dyDescent="0.3">
      <c r="A2502" t="s">
        <v>2530</v>
      </c>
      <c r="B2502" t="s">
        <v>8</v>
      </c>
      <c r="C2502">
        <v>5</v>
      </c>
      <c r="D2502">
        <v>5</v>
      </c>
      <c r="E2502">
        <v>168.2</v>
      </c>
      <c r="F2502">
        <v>4</v>
      </c>
      <c r="G2502">
        <v>80</v>
      </c>
    </row>
    <row r="2503" spans="1:7" ht="14" x14ac:dyDescent="0.3">
      <c r="A2503" t="s">
        <v>2531</v>
      </c>
      <c r="B2503" t="s">
        <v>8</v>
      </c>
      <c r="C2503">
        <v>1</v>
      </c>
      <c r="D2503">
        <v>1</v>
      </c>
      <c r="E2503">
        <v>167.96</v>
      </c>
      <c r="F2503">
        <v>5</v>
      </c>
      <c r="G2503">
        <v>100</v>
      </c>
    </row>
    <row r="2504" spans="1:7" ht="14" x14ac:dyDescent="0.3">
      <c r="A2504" t="s">
        <v>2532</v>
      </c>
      <c r="B2504" t="s">
        <v>8</v>
      </c>
      <c r="C2504">
        <v>1</v>
      </c>
      <c r="D2504">
        <v>1</v>
      </c>
      <c r="E2504">
        <v>167.62</v>
      </c>
      <c r="F2504">
        <v>3</v>
      </c>
      <c r="G2504">
        <v>100</v>
      </c>
    </row>
    <row r="2505" spans="1:7" ht="14" x14ac:dyDescent="0.3">
      <c r="A2505" t="s">
        <v>2533</v>
      </c>
      <c r="B2505" t="s">
        <v>8</v>
      </c>
      <c r="C2505">
        <v>2</v>
      </c>
      <c r="D2505">
        <v>2</v>
      </c>
      <c r="E2505">
        <v>166.99</v>
      </c>
      <c r="F2505">
        <v>5</v>
      </c>
      <c r="G2505">
        <v>100</v>
      </c>
    </row>
    <row r="2506" spans="1:7" ht="14" x14ac:dyDescent="0.3">
      <c r="A2506" t="s">
        <v>2534</v>
      </c>
      <c r="B2506" t="s">
        <v>8</v>
      </c>
      <c r="C2506">
        <v>1</v>
      </c>
      <c r="D2506">
        <v>1</v>
      </c>
      <c r="E2506">
        <v>166.71</v>
      </c>
      <c r="F2506">
        <v>1</v>
      </c>
      <c r="G2506">
        <v>100</v>
      </c>
    </row>
    <row r="2507" spans="1:7" ht="14" x14ac:dyDescent="0.3">
      <c r="A2507" t="s">
        <v>2535</v>
      </c>
      <c r="B2507" t="s">
        <v>8</v>
      </c>
      <c r="C2507">
        <v>3</v>
      </c>
      <c r="D2507">
        <v>4</v>
      </c>
      <c r="E2507">
        <v>166.35</v>
      </c>
      <c r="F2507">
        <v>4.5</v>
      </c>
      <c r="G2507">
        <v>100</v>
      </c>
    </row>
    <row r="2508" spans="1:7" ht="14" x14ac:dyDescent="0.3">
      <c r="A2508" t="s">
        <v>2536</v>
      </c>
      <c r="B2508" t="s">
        <v>87</v>
      </c>
      <c r="C2508">
        <v>1</v>
      </c>
      <c r="D2508">
        <v>1</v>
      </c>
      <c r="E2508">
        <v>166.05</v>
      </c>
      <c r="F2508">
        <v>5</v>
      </c>
      <c r="G2508">
        <v>100</v>
      </c>
    </row>
    <row r="2509" spans="1:7" ht="14" x14ac:dyDescent="0.3">
      <c r="A2509" t="s">
        <v>2537</v>
      </c>
      <c r="B2509" t="s">
        <v>22</v>
      </c>
      <c r="C2509">
        <v>2</v>
      </c>
      <c r="D2509">
        <v>2</v>
      </c>
      <c r="E2509">
        <v>165.63</v>
      </c>
      <c r="F2509">
        <v>3</v>
      </c>
      <c r="G2509">
        <v>50</v>
      </c>
    </row>
    <row r="2510" spans="1:7" ht="14" x14ac:dyDescent="0.3">
      <c r="A2510" t="s">
        <v>2538</v>
      </c>
      <c r="B2510" t="s">
        <v>22</v>
      </c>
      <c r="C2510">
        <v>2</v>
      </c>
      <c r="D2510">
        <v>2</v>
      </c>
      <c r="E2510">
        <v>165.5</v>
      </c>
      <c r="F2510">
        <v>4.5</v>
      </c>
      <c r="G2510">
        <v>100</v>
      </c>
    </row>
    <row r="2511" spans="1:7" ht="14" x14ac:dyDescent="0.3">
      <c r="A2511" t="s">
        <v>2539</v>
      </c>
      <c r="B2511" t="s">
        <v>8</v>
      </c>
      <c r="C2511">
        <v>1</v>
      </c>
      <c r="D2511">
        <v>1</v>
      </c>
      <c r="E2511">
        <v>165.26</v>
      </c>
      <c r="F2511">
        <v>5</v>
      </c>
      <c r="G2511">
        <v>100</v>
      </c>
    </row>
    <row r="2512" spans="1:7" ht="14" x14ac:dyDescent="0.3">
      <c r="A2512" t="s">
        <v>2540</v>
      </c>
      <c r="B2512" t="s">
        <v>42</v>
      </c>
      <c r="C2512">
        <v>4</v>
      </c>
      <c r="D2512">
        <v>4</v>
      </c>
      <c r="E2512">
        <v>165.16</v>
      </c>
      <c r="F2512">
        <v>2.25</v>
      </c>
      <c r="G2512">
        <v>100</v>
      </c>
    </row>
    <row r="2513" spans="1:7" ht="14" x14ac:dyDescent="0.3">
      <c r="A2513" t="s">
        <v>2541</v>
      </c>
      <c r="B2513" t="s">
        <v>8</v>
      </c>
      <c r="C2513">
        <v>2</v>
      </c>
      <c r="D2513">
        <v>2</v>
      </c>
      <c r="E2513">
        <v>164.85</v>
      </c>
      <c r="F2513">
        <v>5</v>
      </c>
      <c r="G2513">
        <v>100</v>
      </c>
    </row>
    <row r="2514" spans="1:7" ht="14" x14ac:dyDescent="0.3">
      <c r="A2514" t="s">
        <v>2542</v>
      </c>
      <c r="B2514" t="s">
        <v>8</v>
      </c>
      <c r="C2514">
        <v>1</v>
      </c>
      <c r="D2514">
        <v>1</v>
      </c>
      <c r="E2514">
        <v>164.71</v>
      </c>
      <c r="F2514">
        <v>5</v>
      </c>
      <c r="G2514">
        <v>100</v>
      </c>
    </row>
    <row r="2515" spans="1:7" ht="14" x14ac:dyDescent="0.3">
      <c r="A2515" t="s">
        <v>2543</v>
      </c>
      <c r="B2515" t="s">
        <v>8</v>
      </c>
      <c r="C2515">
        <v>1</v>
      </c>
      <c r="D2515">
        <v>1</v>
      </c>
      <c r="E2515">
        <v>164.45</v>
      </c>
      <c r="F2515">
        <v>5</v>
      </c>
      <c r="G2515">
        <v>100</v>
      </c>
    </row>
    <row r="2516" spans="1:7" ht="14" x14ac:dyDescent="0.3">
      <c r="A2516" t="s">
        <v>2544</v>
      </c>
      <c r="B2516" t="s">
        <v>8</v>
      </c>
      <c r="C2516">
        <v>2</v>
      </c>
      <c r="D2516">
        <v>4</v>
      </c>
      <c r="E2516">
        <v>164.32</v>
      </c>
      <c r="F2516">
        <v>5</v>
      </c>
      <c r="G2516">
        <v>100</v>
      </c>
    </row>
    <row r="2517" spans="1:7" ht="14" x14ac:dyDescent="0.3">
      <c r="A2517" t="s">
        <v>2545</v>
      </c>
      <c r="B2517" t="s">
        <v>8</v>
      </c>
      <c r="C2517">
        <v>2</v>
      </c>
      <c r="D2517">
        <v>2</v>
      </c>
      <c r="E2517">
        <v>163.16999999999999</v>
      </c>
      <c r="F2517">
        <v>5</v>
      </c>
      <c r="G2517">
        <v>100</v>
      </c>
    </row>
    <row r="2518" spans="1:7" ht="14" x14ac:dyDescent="0.3">
      <c r="A2518" t="s">
        <v>2546</v>
      </c>
      <c r="B2518" t="s">
        <v>8</v>
      </c>
      <c r="C2518">
        <v>2</v>
      </c>
      <c r="D2518">
        <v>2</v>
      </c>
      <c r="E2518">
        <v>162.75</v>
      </c>
      <c r="F2518">
        <v>5</v>
      </c>
      <c r="G2518">
        <v>100</v>
      </c>
    </row>
    <row r="2519" spans="1:7" ht="14" x14ac:dyDescent="0.3">
      <c r="A2519" t="s">
        <v>2547</v>
      </c>
      <c r="B2519" t="s">
        <v>87</v>
      </c>
      <c r="C2519">
        <v>1</v>
      </c>
      <c r="D2519">
        <v>1</v>
      </c>
      <c r="E2519">
        <v>162.6</v>
      </c>
      <c r="F2519">
        <v>1</v>
      </c>
      <c r="G2519">
        <v>100</v>
      </c>
    </row>
    <row r="2520" spans="1:7" ht="14" x14ac:dyDescent="0.3">
      <c r="A2520" t="s">
        <v>2548</v>
      </c>
      <c r="B2520" t="s">
        <v>42</v>
      </c>
      <c r="C2520">
        <v>1</v>
      </c>
      <c r="D2520">
        <v>1</v>
      </c>
      <c r="E2520">
        <v>162.59</v>
      </c>
      <c r="F2520">
        <v>4</v>
      </c>
      <c r="G2520">
        <v>100</v>
      </c>
    </row>
    <row r="2521" spans="1:7" ht="14" x14ac:dyDescent="0.3">
      <c r="A2521" t="s">
        <v>2549</v>
      </c>
      <c r="B2521" t="s">
        <v>42</v>
      </c>
      <c r="C2521">
        <v>2</v>
      </c>
      <c r="D2521">
        <v>3</v>
      </c>
      <c r="E2521">
        <v>162.56</v>
      </c>
      <c r="F2521">
        <v>4.67</v>
      </c>
      <c r="G2521">
        <v>100</v>
      </c>
    </row>
    <row r="2522" spans="1:7" ht="14" x14ac:dyDescent="0.3">
      <c r="A2522" t="s">
        <v>2550</v>
      </c>
      <c r="B2522" t="s">
        <v>8</v>
      </c>
      <c r="C2522">
        <v>2</v>
      </c>
      <c r="D2522">
        <v>2</v>
      </c>
      <c r="E2522">
        <v>161.80000000000001</v>
      </c>
      <c r="F2522">
        <v>3</v>
      </c>
      <c r="G2522">
        <v>100</v>
      </c>
    </row>
    <row r="2523" spans="1:7" ht="14" x14ac:dyDescent="0.3">
      <c r="A2523" t="s">
        <v>2551</v>
      </c>
      <c r="B2523" t="s">
        <v>32</v>
      </c>
      <c r="C2523">
        <v>3</v>
      </c>
      <c r="D2523">
        <v>3</v>
      </c>
      <c r="E2523">
        <v>161.43</v>
      </c>
      <c r="F2523">
        <v>3.67</v>
      </c>
      <c r="G2523">
        <v>100</v>
      </c>
    </row>
    <row r="2524" spans="1:7" ht="14" x14ac:dyDescent="0.3">
      <c r="A2524" t="s">
        <v>2552</v>
      </c>
      <c r="B2524" t="s">
        <v>12</v>
      </c>
      <c r="C2524">
        <v>1</v>
      </c>
      <c r="D2524">
        <v>1</v>
      </c>
      <c r="E2524">
        <v>161.37</v>
      </c>
      <c r="F2524">
        <v>5</v>
      </c>
      <c r="G2524">
        <v>100</v>
      </c>
    </row>
    <row r="2525" spans="1:7" ht="14" x14ac:dyDescent="0.3">
      <c r="A2525" t="s">
        <v>2553</v>
      </c>
      <c r="B2525" t="s">
        <v>8</v>
      </c>
      <c r="C2525">
        <v>2</v>
      </c>
      <c r="D2525">
        <v>2</v>
      </c>
      <c r="E2525">
        <v>161.24</v>
      </c>
      <c r="F2525">
        <v>3</v>
      </c>
      <c r="G2525">
        <v>50</v>
      </c>
    </row>
    <row r="2526" spans="1:7" ht="14" x14ac:dyDescent="0.3">
      <c r="A2526" t="s">
        <v>2554</v>
      </c>
      <c r="B2526" t="s">
        <v>42</v>
      </c>
      <c r="C2526">
        <v>2</v>
      </c>
      <c r="D2526">
        <v>2</v>
      </c>
      <c r="E2526">
        <v>160.66999999999999</v>
      </c>
      <c r="F2526">
        <v>4.5</v>
      </c>
      <c r="G2526">
        <v>100</v>
      </c>
    </row>
    <row r="2527" spans="1:7" ht="14" x14ac:dyDescent="0.3">
      <c r="A2527" t="s">
        <v>2555</v>
      </c>
      <c r="B2527" t="s">
        <v>42</v>
      </c>
      <c r="C2527">
        <v>1</v>
      </c>
      <c r="D2527">
        <v>1</v>
      </c>
      <c r="E2527">
        <v>158.97</v>
      </c>
      <c r="F2527">
        <v>5</v>
      </c>
      <c r="G2527">
        <v>100</v>
      </c>
    </row>
    <row r="2528" spans="1:7" ht="14" x14ac:dyDescent="0.3">
      <c r="A2528" t="s">
        <v>2556</v>
      </c>
      <c r="B2528" t="s">
        <v>8</v>
      </c>
      <c r="C2528">
        <v>3</v>
      </c>
      <c r="D2528">
        <v>4</v>
      </c>
      <c r="E2528">
        <v>158.93</v>
      </c>
      <c r="F2528">
        <v>4.75</v>
      </c>
      <c r="G2528">
        <v>50</v>
      </c>
    </row>
    <row r="2529" spans="1:7" ht="14" x14ac:dyDescent="0.3">
      <c r="A2529" t="s">
        <v>2557</v>
      </c>
      <c r="B2529" t="s">
        <v>32</v>
      </c>
      <c r="C2529">
        <v>2</v>
      </c>
      <c r="D2529">
        <v>2</v>
      </c>
      <c r="E2529">
        <v>158.62</v>
      </c>
      <c r="F2529">
        <v>4</v>
      </c>
      <c r="G2529">
        <v>100</v>
      </c>
    </row>
    <row r="2530" spans="1:7" ht="14" x14ac:dyDescent="0.3">
      <c r="A2530" t="s">
        <v>2558</v>
      </c>
      <c r="B2530" t="s">
        <v>8</v>
      </c>
      <c r="C2530">
        <v>2</v>
      </c>
      <c r="D2530">
        <v>6</v>
      </c>
      <c r="E2530">
        <v>158.11000000000001</v>
      </c>
      <c r="F2530">
        <v>1.5</v>
      </c>
      <c r="G2530">
        <v>100</v>
      </c>
    </row>
    <row r="2531" spans="1:7" ht="14" x14ac:dyDescent="0.3">
      <c r="A2531" t="s">
        <v>2559</v>
      </c>
      <c r="B2531" t="s">
        <v>8</v>
      </c>
      <c r="C2531">
        <v>3</v>
      </c>
      <c r="D2531">
        <v>3</v>
      </c>
      <c r="E2531">
        <v>157.69999999999999</v>
      </c>
      <c r="F2531">
        <v>5</v>
      </c>
      <c r="G2531">
        <v>66.7</v>
      </c>
    </row>
    <row r="2532" spans="1:7" ht="14" x14ac:dyDescent="0.3">
      <c r="A2532" t="s">
        <v>2560</v>
      </c>
      <c r="B2532" t="s">
        <v>8</v>
      </c>
      <c r="C2532">
        <v>5</v>
      </c>
      <c r="D2532">
        <v>5</v>
      </c>
      <c r="E2532">
        <v>157.63999999999999</v>
      </c>
      <c r="F2532">
        <v>4</v>
      </c>
      <c r="G2532">
        <v>80</v>
      </c>
    </row>
    <row r="2533" spans="1:7" ht="14" x14ac:dyDescent="0.3">
      <c r="A2533" t="s">
        <v>2561</v>
      </c>
      <c r="B2533" t="s">
        <v>8</v>
      </c>
      <c r="C2533">
        <v>2</v>
      </c>
      <c r="D2533">
        <v>2</v>
      </c>
      <c r="E2533">
        <v>157.51</v>
      </c>
      <c r="F2533">
        <v>3</v>
      </c>
      <c r="G2533">
        <v>0</v>
      </c>
    </row>
    <row r="2534" spans="1:7" ht="14" x14ac:dyDescent="0.3">
      <c r="A2534" t="s">
        <v>2562</v>
      </c>
      <c r="B2534" t="s">
        <v>8</v>
      </c>
      <c r="C2534">
        <v>1</v>
      </c>
      <c r="D2534">
        <v>1</v>
      </c>
      <c r="E2534">
        <v>157.30000000000001</v>
      </c>
      <c r="F2534">
        <v>4</v>
      </c>
      <c r="G2534">
        <v>100</v>
      </c>
    </row>
    <row r="2535" spans="1:7" ht="14" x14ac:dyDescent="0.3">
      <c r="A2535" t="s">
        <v>2563</v>
      </c>
      <c r="B2535" t="s">
        <v>32</v>
      </c>
      <c r="C2535">
        <v>2</v>
      </c>
      <c r="D2535">
        <v>3</v>
      </c>
      <c r="E2535">
        <v>157.09</v>
      </c>
      <c r="F2535">
        <v>3.67</v>
      </c>
      <c r="G2535">
        <v>100</v>
      </c>
    </row>
    <row r="2536" spans="1:7" ht="14" x14ac:dyDescent="0.3">
      <c r="A2536" t="s">
        <v>2564</v>
      </c>
      <c r="B2536" t="s">
        <v>8</v>
      </c>
      <c r="C2536">
        <v>2</v>
      </c>
      <c r="D2536">
        <v>2</v>
      </c>
      <c r="E2536">
        <v>157.08000000000001</v>
      </c>
      <c r="F2536">
        <v>5</v>
      </c>
      <c r="G2536">
        <v>100</v>
      </c>
    </row>
    <row r="2537" spans="1:7" ht="14" x14ac:dyDescent="0.3">
      <c r="A2537" t="s">
        <v>2565</v>
      </c>
      <c r="B2537" t="s">
        <v>32</v>
      </c>
      <c r="C2537">
        <v>2</v>
      </c>
      <c r="D2537">
        <v>2</v>
      </c>
      <c r="E2537">
        <v>157</v>
      </c>
      <c r="F2537">
        <v>5</v>
      </c>
      <c r="G2537">
        <v>100</v>
      </c>
    </row>
    <row r="2538" spans="1:7" ht="14" x14ac:dyDescent="0.3">
      <c r="A2538" t="s">
        <v>2566</v>
      </c>
      <c r="B2538" t="s">
        <v>32</v>
      </c>
      <c r="C2538">
        <v>1</v>
      </c>
      <c r="D2538">
        <v>1</v>
      </c>
      <c r="E2538">
        <v>156.75</v>
      </c>
      <c r="F2538">
        <v>5</v>
      </c>
      <c r="G2538">
        <v>100</v>
      </c>
    </row>
    <row r="2539" spans="1:7" ht="14" x14ac:dyDescent="0.3">
      <c r="A2539" t="s">
        <v>2567</v>
      </c>
      <c r="B2539" t="s">
        <v>32</v>
      </c>
      <c r="C2539">
        <v>1</v>
      </c>
      <c r="D2539">
        <v>1</v>
      </c>
      <c r="E2539">
        <v>156.16</v>
      </c>
      <c r="F2539">
        <v>4</v>
      </c>
      <c r="G2539">
        <v>100</v>
      </c>
    </row>
    <row r="2540" spans="1:7" ht="14" x14ac:dyDescent="0.3">
      <c r="A2540" t="s">
        <v>2568</v>
      </c>
      <c r="B2540" t="s">
        <v>22</v>
      </c>
      <c r="C2540">
        <v>1</v>
      </c>
      <c r="D2540">
        <v>1</v>
      </c>
      <c r="E2540">
        <v>155.26</v>
      </c>
      <c r="F2540">
        <v>5</v>
      </c>
      <c r="G2540">
        <v>100</v>
      </c>
    </row>
    <row r="2541" spans="1:7" ht="14" x14ac:dyDescent="0.3">
      <c r="A2541" t="s">
        <v>2569</v>
      </c>
      <c r="B2541" t="s">
        <v>8</v>
      </c>
      <c r="C2541">
        <v>2</v>
      </c>
      <c r="D2541">
        <v>2</v>
      </c>
      <c r="E2541">
        <v>155.25</v>
      </c>
      <c r="F2541">
        <v>4</v>
      </c>
      <c r="G2541">
        <v>100</v>
      </c>
    </row>
    <row r="2542" spans="1:7" ht="14" x14ac:dyDescent="0.3">
      <c r="A2542" t="s">
        <v>2570</v>
      </c>
      <c r="B2542" t="s">
        <v>8</v>
      </c>
      <c r="C2542">
        <v>3</v>
      </c>
      <c r="D2542">
        <v>3</v>
      </c>
      <c r="E2542">
        <v>155</v>
      </c>
      <c r="F2542">
        <v>4</v>
      </c>
      <c r="G2542">
        <v>100</v>
      </c>
    </row>
    <row r="2543" spans="1:7" ht="14" x14ac:dyDescent="0.3">
      <c r="A2543" t="s">
        <v>2571</v>
      </c>
      <c r="B2543" t="s">
        <v>8</v>
      </c>
      <c r="C2543">
        <v>1</v>
      </c>
      <c r="D2543">
        <v>1</v>
      </c>
      <c r="E2543">
        <v>154.78</v>
      </c>
      <c r="F2543">
        <v>5</v>
      </c>
      <c r="G2543">
        <v>100</v>
      </c>
    </row>
    <row r="2544" spans="1:7" ht="14" x14ac:dyDescent="0.3">
      <c r="A2544" t="s">
        <v>2572</v>
      </c>
      <c r="B2544" t="s">
        <v>22</v>
      </c>
      <c r="C2544">
        <v>2</v>
      </c>
      <c r="D2544">
        <v>2</v>
      </c>
      <c r="E2544">
        <v>154.44</v>
      </c>
      <c r="F2544">
        <v>4.5</v>
      </c>
      <c r="G2544">
        <v>100</v>
      </c>
    </row>
    <row r="2545" spans="1:7" ht="14" x14ac:dyDescent="0.3">
      <c r="A2545" t="s">
        <v>2573</v>
      </c>
      <c r="B2545" t="s">
        <v>8</v>
      </c>
      <c r="C2545">
        <v>3</v>
      </c>
      <c r="D2545">
        <v>4</v>
      </c>
      <c r="E2545">
        <v>154.26</v>
      </c>
      <c r="F2545">
        <v>4.5</v>
      </c>
      <c r="G2545">
        <v>100</v>
      </c>
    </row>
    <row r="2546" spans="1:7" ht="14" x14ac:dyDescent="0.3">
      <c r="A2546" t="s">
        <v>2574</v>
      </c>
      <c r="B2546" t="s">
        <v>32</v>
      </c>
      <c r="C2546">
        <v>1</v>
      </c>
      <c r="D2546">
        <v>1</v>
      </c>
      <c r="E2546">
        <v>152.99</v>
      </c>
      <c r="F2546">
        <v>1</v>
      </c>
      <c r="G2546">
        <v>100</v>
      </c>
    </row>
    <row r="2547" spans="1:7" ht="14" x14ac:dyDescent="0.3">
      <c r="A2547" t="s">
        <v>2575</v>
      </c>
      <c r="B2547" t="s">
        <v>42</v>
      </c>
      <c r="C2547">
        <v>3</v>
      </c>
      <c r="D2547">
        <v>3</v>
      </c>
      <c r="E2547">
        <v>152.80000000000001</v>
      </c>
      <c r="F2547">
        <v>4</v>
      </c>
      <c r="G2547">
        <v>100</v>
      </c>
    </row>
    <row r="2548" spans="1:7" ht="14" x14ac:dyDescent="0.3">
      <c r="A2548" t="s">
        <v>2576</v>
      </c>
      <c r="B2548" t="s">
        <v>32</v>
      </c>
      <c r="C2548">
        <v>1</v>
      </c>
      <c r="D2548">
        <v>1</v>
      </c>
      <c r="E2548">
        <v>152.47</v>
      </c>
      <c r="F2548">
        <v>5</v>
      </c>
      <c r="G2548">
        <v>100</v>
      </c>
    </row>
    <row r="2549" spans="1:7" ht="14" x14ac:dyDescent="0.3">
      <c r="A2549" t="s">
        <v>2577</v>
      </c>
      <c r="B2549" t="s">
        <v>8</v>
      </c>
      <c r="C2549">
        <v>2</v>
      </c>
      <c r="D2549">
        <v>2</v>
      </c>
      <c r="E2549">
        <v>152.04</v>
      </c>
      <c r="F2549">
        <v>4.5</v>
      </c>
      <c r="G2549">
        <v>100</v>
      </c>
    </row>
    <row r="2550" spans="1:7" ht="14" x14ac:dyDescent="0.3">
      <c r="A2550" s="1" t="s">
        <v>2578</v>
      </c>
      <c r="B2550" t="s">
        <v>8</v>
      </c>
      <c r="C2550">
        <v>1</v>
      </c>
      <c r="D2550">
        <v>2</v>
      </c>
      <c r="E2550">
        <v>151.80000000000001</v>
      </c>
      <c r="F2550">
        <v>1</v>
      </c>
      <c r="G2550">
        <v>0</v>
      </c>
    </row>
    <row r="2551" spans="1:7" ht="14" x14ac:dyDescent="0.3">
      <c r="A2551" t="s">
        <v>2579</v>
      </c>
      <c r="B2551" t="s">
        <v>8</v>
      </c>
      <c r="C2551">
        <v>3</v>
      </c>
      <c r="D2551">
        <v>3</v>
      </c>
      <c r="E2551">
        <v>151.13999999999999</v>
      </c>
      <c r="F2551">
        <v>5</v>
      </c>
      <c r="G2551">
        <v>100</v>
      </c>
    </row>
    <row r="2552" spans="1:7" ht="14" x14ac:dyDescent="0.3">
      <c r="A2552" t="s">
        <v>2580</v>
      </c>
      <c r="B2552" t="s">
        <v>101</v>
      </c>
      <c r="C2552">
        <v>1</v>
      </c>
      <c r="D2552">
        <v>1</v>
      </c>
      <c r="E2552">
        <v>151.04</v>
      </c>
      <c r="F2552">
        <v>5</v>
      </c>
      <c r="G2552">
        <v>100</v>
      </c>
    </row>
    <row r="2553" spans="1:7" ht="14" x14ac:dyDescent="0.3">
      <c r="A2553" t="s">
        <v>2581</v>
      </c>
      <c r="B2553" t="s">
        <v>8</v>
      </c>
      <c r="C2553">
        <v>2</v>
      </c>
      <c r="D2553">
        <v>2</v>
      </c>
      <c r="E2553">
        <v>150.96</v>
      </c>
      <c r="F2553">
        <v>5</v>
      </c>
      <c r="G2553">
        <v>100</v>
      </c>
    </row>
    <row r="2554" spans="1:7" ht="14" x14ac:dyDescent="0.3">
      <c r="A2554" t="s">
        <v>2582</v>
      </c>
      <c r="B2554" t="s">
        <v>8</v>
      </c>
      <c r="C2554">
        <v>2</v>
      </c>
      <c r="D2554">
        <v>2</v>
      </c>
      <c r="E2554">
        <v>150.66</v>
      </c>
      <c r="F2554">
        <v>5</v>
      </c>
      <c r="G2554">
        <v>100</v>
      </c>
    </row>
    <row r="2555" spans="1:7" ht="14" x14ac:dyDescent="0.3">
      <c r="A2555" t="s">
        <v>2583</v>
      </c>
      <c r="B2555" t="s">
        <v>8</v>
      </c>
      <c r="C2555">
        <v>2</v>
      </c>
      <c r="D2555">
        <v>2</v>
      </c>
      <c r="E2555">
        <v>150.63</v>
      </c>
      <c r="F2555">
        <v>4</v>
      </c>
      <c r="G2555">
        <v>100</v>
      </c>
    </row>
    <row r="2556" spans="1:7" ht="14" x14ac:dyDescent="0.3">
      <c r="A2556" t="s">
        <v>2584</v>
      </c>
      <c r="B2556" t="s">
        <v>8</v>
      </c>
      <c r="C2556">
        <v>2</v>
      </c>
      <c r="D2556">
        <v>2</v>
      </c>
      <c r="E2556">
        <v>150.13999999999999</v>
      </c>
      <c r="F2556">
        <v>2.5</v>
      </c>
      <c r="G2556">
        <v>100</v>
      </c>
    </row>
    <row r="2557" spans="1:7" ht="14" x14ac:dyDescent="0.3">
      <c r="A2557" t="s">
        <v>2585</v>
      </c>
      <c r="B2557" t="s">
        <v>8</v>
      </c>
      <c r="C2557">
        <v>1</v>
      </c>
      <c r="D2557">
        <v>1</v>
      </c>
      <c r="E2557">
        <v>150</v>
      </c>
      <c r="F2557">
        <v>3</v>
      </c>
      <c r="G2557">
        <v>100</v>
      </c>
    </row>
    <row r="2558" spans="1:7" ht="14" x14ac:dyDescent="0.3">
      <c r="A2558" t="s">
        <v>2586</v>
      </c>
      <c r="B2558" t="s">
        <v>8</v>
      </c>
      <c r="C2558">
        <v>4</v>
      </c>
      <c r="D2558">
        <v>4</v>
      </c>
      <c r="E2558">
        <v>149.79</v>
      </c>
      <c r="F2558">
        <v>4.25</v>
      </c>
      <c r="G2558">
        <v>100</v>
      </c>
    </row>
    <row r="2559" spans="1:7" ht="14" x14ac:dyDescent="0.3">
      <c r="A2559" t="s">
        <v>2587</v>
      </c>
      <c r="B2559" t="s">
        <v>8</v>
      </c>
      <c r="C2559">
        <v>2</v>
      </c>
      <c r="D2559">
        <v>6</v>
      </c>
      <c r="E2559">
        <v>149.75</v>
      </c>
      <c r="F2559">
        <v>1.67</v>
      </c>
      <c r="G2559">
        <v>100</v>
      </c>
    </row>
    <row r="2560" spans="1:7" ht="14" x14ac:dyDescent="0.3">
      <c r="A2560" t="s">
        <v>2588</v>
      </c>
      <c r="B2560" t="s">
        <v>8</v>
      </c>
      <c r="C2560">
        <v>2</v>
      </c>
      <c r="D2560">
        <v>2</v>
      </c>
      <c r="E2560">
        <v>149.61000000000001</v>
      </c>
      <c r="F2560">
        <v>5</v>
      </c>
      <c r="G2560">
        <v>100</v>
      </c>
    </row>
    <row r="2561" spans="1:7" ht="14" x14ac:dyDescent="0.3">
      <c r="A2561" t="s">
        <v>2589</v>
      </c>
      <c r="B2561" t="s">
        <v>241</v>
      </c>
      <c r="C2561">
        <v>2</v>
      </c>
      <c r="D2561">
        <v>2</v>
      </c>
      <c r="E2561">
        <v>149.30000000000001</v>
      </c>
      <c r="F2561">
        <v>4</v>
      </c>
      <c r="G2561">
        <v>100</v>
      </c>
    </row>
    <row r="2562" spans="1:7" ht="14" x14ac:dyDescent="0.3">
      <c r="A2562" t="s">
        <v>2590</v>
      </c>
      <c r="B2562" t="s">
        <v>8</v>
      </c>
      <c r="C2562">
        <v>2</v>
      </c>
      <c r="D2562">
        <v>2</v>
      </c>
      <c r="E2562">
        <v>149.22</v>
      </c>
      <c r="F2562">
        <v>3</v>
      </c>
      <c r="G2562">
        <v>50</v>
      </c>
    </row>
    <row r="2563" spans="1:7" ht="14" x14ac:dyDescent="0.3">
      <c r="A2563" t="s">
        <v>2591</v>
      </c>
      <c r="B2563" t="s">
        <v>8</v>
      </c>
      <c r="C2563">
        <v>1</v>
      </c>
      <c r="D2563">
        <v>1</v>
      </c>
      <c r="E2563">
        <v>149.04</v>
      </c>
      <c r="F2563">
        <v>5</v>
      </c>
      <c r="G2563">
        <v>100</v>
      </c>
    </row>
    <row r="2564" spans="1:7" ht="14" x14ac:dyDescent="0.3">
      <c r="A2564" t="s">
        <v>2592</v>
      </c>
      <c r="B2564" t="s">
        <v>8</v>
      </c>
      <c r="C2564">
        <v>2</v>
      </c>
      <c r="D2564">
        <v>2</v>
      </c>
      <c r="E2564">
        <v>148.91999999999999</v>
      </c>
      <c r="F2564">
        <v>5</v>
      </c>
      <c r="G2564">
        <v>100</v>
      </c>
    </row>
    <row r="2565" spans="1:7" ht="14" x14ac:dyDescent="0.3">
      <c r="A2565" t="s">
        <v>2593</v>
      </c>
      <c r="B2565" t="s">
        <v>8</v>
      </c>
      <c r="C2565">
        <v>2</v>
      </c>
      <c r="D2565">
        <v>4</v>
      </c>
      <c r="E2565">
        <v>148.69999999999999</v>
      </c>
      <c r="F2565">
        <v>5</v>
      </c>
      <c r="G2565">
        <v>100</v>
      </c>
    </row>
    <row r="2566" spans="1:7" ht="14" x14ac:dyDescent="0.3">
      <c r="A2566" t="s">
        <v>2594</v>
      </c>
      <c r="B2566" t="s">
        <v>8</v>
      </c>
      <c r="C2566">
        <v>1</v>
      </c>
      <c r="D2566">
        <v>1</v>
      </c>
      <c r="E2566">
        <v>148.68</v>
      </c>
      <c r="F2566">
        <v>1</v>
      </c>
      <c r="G2566">
        <v>100</v>
      </c>
    </row>
    <row r="2567" spans="1:7" ht="14" x14ac:dyDescent="0.3">
      <c r="A2567" t="s">
        <v>2595</v>
      </c>
      <c r="B2567" t="s">
        <v>8</v>
      </c>
      <c r="C2567">
        <v>1</v>
      </c>
      <c r="D2567">
        <v>1</v>
      </c>
      <c r="E2567">
        <v>148.15</v>
      </c>
      <c r="F2567">
        <v>5</v>
      </c>
      <c r="G2567">
        <v>100</v>
      </c>
    </row>
    <row r="2568" spans="1:7" ht="14" x14ac:dyDescent="0.3">
      <c r="A2568" t="s">
        <v>2596</v>
      </c>
      <c r="B2568" t="s">
        <v>8</v>
      </c>
      <c r="C2568">
        <v>2</v>
      </c>
      <c r="D2568">
        <v>2</v>
      </c>
      <c r="E2568">
        <v>148.12</v>
      </c>
      <c r="F2568">
        <v>4</v>
      </c>
      <c r="G2568">
        <v>100</v>
      </c>
    </row>
    <row r="2569" spans="1:7" ht="14" x14ac:dyDescent="0.3">
      <c r="A2569" t="s">
        <v>2597</v>
      </c>
      <c r="B2569" t="s">
        <v>8</v>
      </c>
      <c r="C2569">
        <v>3</v>
      </c>
      <c r="D2569">
        <v>5</v>
      </c>
      <c r="E2569">
        <v>147.66999999999999</v>
      </c>
      <c r="F2569">
        <v>3.6</v>
      </c>
      <c r="G2569">
        <v>100</v>
      </c>
    </row>
    <row r="2570" spans="1:7" ht="14" x14ac:dyDescent="0.3">
      <c r="A2570" t="s">
        <v>2598</v>
      </c>
      <c r="B2570" t="s">
        <v>8</v>
      </c>
      <c r="C2570">
        <v>1</v>
      </c>
      <c r="D2570">
        <v>1</v>
      </c>
      <c r="E2570">
        <v>147.59</v>
      </c>
      <c r="F2570">
        <v>5</v>
      </c>
      <c r="G2570">
        <v>100</v>
      </c>
    </row>
    <row r="2571" spans="1:7" ht="14" x14ac:dyDescent="0.3">
      <c r="A2571" t="s">
        <v>2599</v>
      </c>
      <c r="B2571" t="s">
        <v>42</v>
      </c>
      <c r="C2571">
        <v>1</v>
      </c>
      <c r="D2571">
        <v>1</v>
      </c>
      <c r="E2571">
        <v>147.35</v>
      </c>
      <c r="F2571">
        <v>5</v>
      </c>
      <c r="G2571">
        <v>100</v>
      </c>
    </row>
    <row r="2572" spans="1:7" ht="14" x14ac:dyDescent="0.3">
      <c r="A2572" t="s">
        <v>2600</v>
      </c>
      <c r="B2572" t="s">
        <v>32</v>
      </c>
      <c r="C2572">
        <v>3</v>
      </c>
      <c r="D2572">
        <v>3</v>
      </c>
      <c r="E2572">
        <v>147.30000000000001</v>
      </c>
      <c r="F2572">
        <v>4.33</v>
      </c>
      <c r="G2572">
        <v>100</v>
      </c>
    </row>
    <row r="2573" spans="1:7" ht="14" x14ac:dyDescent="0.3">
      <c r="A2573" t="s">
        <v>2601</v>
      </c>
      <c r="B2573" t="s">
        <v>22</v>
      </c>
      <c r="C2573">
        <v>3</v>
      </c>
      <c r="D2573">
        <v>3</v>
      </c>
      <c r="E2573">
        <v>146.22</v>
      </c>
      <c r="F2573">
        <v>5</v>
      </c>
      <c r="G2573">
        <v>100</v>
      </c>
    </row>
    <row r="2574" spans="1:7" ht="14" x14ac:dyDescent="0.3">
      <c r="A2574" t="s">
        <v>2602</v>
      </c>
      <c r="B2574" t="s">
        <v>8</v>
      </c>
      <c r="C2574">
        <v>2</v>
      </c>
      <c r="D2574">
        <v>2</v>
      </c>
      <c r="E2574">
        <v>146.1</v>
      </c>
      <c r="F2574">
        <v>3</v>
      </c>
      <c r="G2574">
        <v>100</v>
      </c>
    </row>
    <row r="2575" spans="1:7" ht="14" x14ac:dyDescent="0.3">
      <c r="A2575" t="s">
        <v>2603</v>
      </c>
      <c r="B2575" t="s">
        <v>8</v>
      </c>
      <c r="C2575">
        <v>4</v>
      </c>
      <c r="D2575">
        <v>4</v>
      </c>
      <c r="E2575">
        <v>144.75</v>
      </c>
      <c r="F2575">
        <v>4.25</v>
      </c>
      <c r="G2575">
        <v>75</v>
      </c>
    </row>
    <row r="2576" spans="1:7" ht="14" x14ac:dyDescent="0.3">
      <c r="A2576" t="s">
        <v>2604</v>
      </c>
      <c r="B2576" t="s">
        <v>8</v>
      </c>
      <c r="C2576">
        <v>3</v>
      </c>
      <c r="D2576">
        <v>3</v>
      </c>
      <c r="E2576">
        <v>144.74</v>
      </c>
      <c r="F2576">
        <v>5</v>
      </c>
      <c r="G2576">
        <v>100</v>
      </c>
    </row>
    <row r="2577" spans="1:7" ht="14" x14ac:dyDescent="0.3">
      <c r="A2577" t="s">
        <v>2605</v>
      </c>
      <c r="B2577" t="s">
        <v>42</v>
      </c>
      <c r="C2577">
        <v>1</v>
      </c>
      <c r="D2577">
        <v>1</v>
      </c>
      <c r="E2577">
        <v>144.47</v>
      </c>
      <c r="F2577">
        <v>5</v>
      </c>
      <c r="G2577">
        <v>100</v>
      </c>
    </row>
    <row r="2578" spans="1:7" ht="14" x14ac:dyDescent="0.3">
      <c r="A2578" t="s">
        <v>2606</v>
      </c>
      <c r="B2578" t="s">
        <v>32</v>
      </c>
      <c r="C2578">
        <v>1</v>
      </c>
      <c r="D2578">
        <v>1</v>
      </c>
      <c r="E2578">
        <v>144.44</v>
      </c>
      <c r="F2578">
        <v>1</v>
      </c>
      <c r="G2578">
        <v>100</v>
      </c>
    </row>
    <row r="2579" spans="1:7" ht="14" x14ac:dyDescent="0.3">
      <c r="A2579" t="s">
        <v>2607</v>
      </c>
      <c r="B2579" t="s">
        <v>22</v>
      </c>
      <c r="C2579">
        <v>1</v>
      </c>
      <c r="D2579">
        <v>1</v>
      </c>
      <c r="E2579">
        <v>143.97999999999999</v>
      </c>
      <c r="F2579">
        <v>5</v>
      </c>
      <c r="G2579">
        <v>100</v>
      </c>
    </row>
    <row r="2580" spans="1:7" ht="14" x14ac:dyDescent="0.3">
      <c r="A2580" t="s">
        <v>2608</v>
      </c>
      <c r="B2580" t="s">
        <v>8</v>
      </c>
      <c r="C2580">
        <v>1</v>
      </c>
      <c r="D2580">
        <v>1</v>
      </c>
      <c r="E2580">
        <v>143.25</v>
      </c>
      <c r="F2580">
        <v>4</v>
      </c>
      <c r="G2580">
        <v>100</v>
      </c>
    </row>
    <row r="2581" spans="1:7" ht="14" x14ac:dyDescent="0.3">
      <c r="A2581" t="s">
        <v>2609</v>
      </c>
      <c r="B2581" t="s">
        <v>32</v>
      </c>
      <c r="C2581">
        <v>4</v>
      </c>
      <c r="D2581">
        <v>4</v>
      </c>
      <c r="E2581">
        <v>141.63999999999999</v>
      </c>
      <c r="F2581">
        <v>4.75</v>
      </c>
      <c r="G2581">
        <v>100</v>
      </c>
    </row>
    <row r="2582" spans="1:7" ht="14" x14ac:dyDescent="0.3">
      <c r="A2582" t="s">
        <v>2610</v>
      </c>
      <c r="B2582" t="s">
        <v>8</v>
      </c>
      <c r="C2582">
        <v>1</v>
      </c>
      <c r="D2582">
        <v>1</v>
      </c>
      <c r="E2582">
        <v>141.41999999999999</v>
      </c>
      <c r="F2582">
        <v>5</v>
      </c>
      <c r="G2582">
        <v>100</v>
      </c>
    </row>
    <row r="2583" spans="1:7" ht="14" x14ac:dyDescent="0.3">
      <c r="A2583" t="s">
        <v>2611</v>
      </c>
      <c r="B2583" t="s">
        <v>8</v>
      </c>
      <c r="C2583">
        <v>1</v>
      </c>
      <c r="D2583">
        <v>1</v>
      </c>
      <c r="E2583">
        <v>141.38999999999999</v>
      </c>
      <c r="F2583">
        <v>4</v>
      </c>
      <c r="G2583">
        <v>100</v>
      </c>
    </row>
    <row r="2584" spans="1:7" ht="14" x14ac:dyDescent="0.3">
      <c r="A2584" t="s">
        <v>2612</v>
      </c>
      <c r="B2584" t="s">
        <v>8</v>
      </c>
      <c r="C2584">
        <v>2</v>
      </c>
      <c r="D2584">
        <v>2</v>
      </c>
      <c r="E2584">
        <v>141.15</v>
      </c>
      <c r="F2584">
        <v>5</v>
      </c>
      <c r="G2584">
        <v>100</v>
      </c>
    </row>
    <row r="2585" spans="1:7" ht="14" x14ac:dyDescent="0.3">
      <c r="A2585" t="s">
        <v>2613</v>
      </c>
      <c r="B2585" t="s">
        <v>8</v>
      </c>
      <c r="C2585">
        <v>3</v>
      </c>
      <c r="D2585">
        <v>4</v>
      </c>
      <c r="E2585">
        <v>140.86000000000001</v>
      </c>
      <c r="F2585">
        <v>5</v>
      </c>
      <c r="G2585">
        <v>100</v>
      </c>
    </row>
    <row r="2586" spans="1:7" ht="14" x14ac:dyDescent="0.3">
      <c r="A2586" t="s">
        <v>2614</v>
      </c>
      <c r="B2586" t="s">
        <v>8</v>
      </c>
      <c r="C2586">
        <v>3</v>
      </c>
      <c r="D2586">
        <v>3</v>
      </c>
      <c r="E2586">
        <v>140.29</v>
      </c>
      <c r="F2586">
        <v>5</v>
      </c>
      <c r="G2586">
        <v>100</v>
      </c>
    </row>
    <row r="2587" spans="1:7" ht="14" x14ac:dyDescent="0.3">
      <c r="A2587" t="s">
        <v>2615</v>
      </c>
      <c r="B2587" t="s">
        <v>309</v>
      </c>
      <c r="C2587">
        <v>1</v>
      </c>
      <c r="D2587">
        <v>1</v>
      </c>
      <c r="E2587">
        <v>139.53</v>
      </c>
      <c r="F2587">
        <v>5</v>
      </c>
      <c r="G2587">
        <v>100</v>
      </c>
    </row>
    <row r="2588" spans="1:7" ht="14" x14ac:dyDescent="0.3">
      <c r="A2588" t="s">
        <v>2616</v>
      </c>
      <c r="B2588" t="s">
        <v>309</v>
      </c>
      <c r="C2588">
        <v>1</v>
      </c>
      <c r="D2588">
        <v>1</v>
      </c>
      <c r="E2588">
        <v>139.38</v>
      </c>
      <c r="F2588">
        <v>5</v>
      </c>
      <c r="G2588">
        <v>100</v>
      </c>
    </row>
    <row r="2589" spans="1:7" ht="14" x14ac:dyDescent="0.3">
      <c r="A2589" t="s">
        <v>2617</v>
      </c>
      <c r="B2589" t="s">
        <v>32</v>
      </c>
      <c r="C2589">
        <v>4</v>
      </c>
      <c r="D2589">
        <v>4</v>
      </c>
      <c r="E2589">
        <v>139.03</v>
      </c>
      <c r="F2589">
        <v>4</v>
      </c>
      <c r="G2589">
        <v>100</v>
      </c>
    </row>
    <row r="2590" spans="1:7" ht="14" x14ac:dyDescent="0.3">
      <c r="A2590" t="s">
        <v>2618</v>
      </c>
      <c r="B2590" t="s">
        <v>42</v>
      </c>
      <c r="C2590">
        <v>2</v>
      </c>
      <c r="D2590">
        <v>4</v>
      </c>
      <c r="E2590">
        <v>138.78</v>
      </c>
      <c r="F2590">
        <v>5</v>
      </c>
      <c r="G2590">
        <v>100</v>
      </c>
    </row>
    <row r="2591" spans="1:7" ht="14" x14ac:dyDescent="0.3">
      <c r="A2591" t="s">
        <v>2619</v>
      </c>
      <c r="B2591" t="s">
        <v>32</v>
      </c>
      <c r="C2591">
        <v>3</v>
      </c>
      <c r="D2591">
        <v>3</v>
      </c>
      <c r="E2591">
        <v>137.47999999999999</v>
      </c>
      <c r="F2591">
        <v>5</v>
      </c>
      <c r="G2591">
        <v>100</v>
      </c>
    </row>
    <row r="2592" spans="1:7" ht="14" x14ac:dyDescent="0.3">
      <c r="A2592" t="s">
        <v>2620</v>
      </c>
      <c r="B2592" t="s">
        <v>24</v>
      </c>
      <c r="C2592">
        <v>1</v>
      </c>
      <c r="D2592">
        <v>1</v>
      </c>
      <c r="E2592">
        <v>137.1</v>
      </c>
      <c r="F2592">
        <v>5</v>
      </c>
      <c r="G2592">
        <v>100</v>
      </c>
    </row>
    <row r="2593" spans="1:7" ht="14" x14ac:dyDescent="0.3">
      <c r="A2593" t="s">
        <v>2621</v>
      </c>
      <c r="B2593" t="s">
        <v>101</v>
      </c>
      <c r="C2593">
        <v>1</v>
      </c>
      <c r="D2593">
        <v>1</v>
      </c>
      <c r="E2593">
        <v>137.09</v>
      </c>
      <c r="F2593">
        <v>5</v>
      </c>
      <c r="G2593">
        <v>100</v>
      </c>
    </row>
    <row r="2594" spans="1:7" ht="14" x14ac:dyDescent="0.3">
      <c r="A2594" t="s">
        <v>2622</v>
      </c>
      <c r="B2594" t="s">
        <v>8</v>
      </c>
      <c r="C2594">
        <v>1</v>
      </c>
      <c r="D2594">
        <v>1</v>
      </c>
      <c r="E2594">
        <v>137.02000000000001</v>
      </c>
      <c r="F2594">
        <v>5</v>
      </c>
      <c r="G2594">
        <v>100</v>
      </c>
    </row>
    <row r="2595" spans="1:7" ht="14" x14ac:dyDescent="0.3">
      <c r="A2595" t="s">
        <v>2623</v>
      </c>
      <c r="B2595" t="s">
        <v>8</v>
      </c>
      <c r="C2595">
        <v>1</v>
      </c>
      <c r="D2595">
        <v>1</v>
      </c>
      <c r="E2595">
        <v>136.97</v>
      </c>
      <c r="F2595">
        <v>4</v>
      </c>
      <c r="G2595">
        <v>100</v>
      </c>
    </row>
    <row r="2596" spans="1:7" ht="14" x14ac:dyDescent="0.3">
      <c r="A2596" t="s">
        <v>2624</v>
      </c>
      <c r="B2596" t="s">
        <v>24</v>
      </c>
      <c r="C2596">
        <v>1</v>
      </c>
      <c r="D2596">
        <v>1</v>
      </c>
      <c r="E2596">
        <v>136.97</v>
      </c>
      <c r="F2596">
        <v>5</v>
      </c>
      <c r="G2596">
        <v>100</v>
      </c>
    </row>
    <row r="2597" spans="1:7" ht="14" x14ac:dyDescent="0.3">
      <c r="A2597" t="s">
        <v>2625</v>
      </c>
      <c r="B2597" t="s">
        <v>32</v>
      </c>
      <c r="C2597">
        <v>1</v>
      </c>
      <c r="D2597">
        <v>1</v>
      </c>
      <c r="E2597">
        <v>136.76</v>
      </c>
      <c r="F2597">
        <v>5</v>
      </c>
      <c r="G2597">
        <v>100</v>
      </c>
    </row>
    <row r="2598" spans="1:7" ht="14" x14ac:dyDescent="0.3">
      <c r="A2598" t="s">
        <v>2626</v>
      </c>
      <c r="B2598" t="s">
        <v>8</v>
      </c>
      <c r="C2598">
        <v>1</v>
      </c>
      <c r="D2598">
        <v>1</v>
      </c>
      <c r="E2598">
        <v>136.30000000000001</v>
      </c>
      <c r="F2598">
        <v>1</v>
      </c>
      <c r="G2598">
        <v>0</v>
      </c>
    </row>
    <row r="2599" spans="1:7" ht="14" x14ac:dyDescent="0.3">
      <c r="A2599" t="s">
        <v>2627</v>
      </c>
      <c r="B2599" t="s">
        <v>32</v>
      </c>
      <c r="C2599">
        <v>1</v>
      </c>
      <c r="D2599">
        <v>1</v>
      </c>
      <c r="E2599">
        <v>136.04</v>
      </c>
      <c r="F2599">
        <v>4</v>
      </c>
      <c r="G2599">
        <v>0</v>
      </c>
    </row>
    <row r="2600" spans="1:7" ht="14" x14ac:dyDescent="0.3">
      <c r="A2600" t="s">
        <v>2628</v>
      </c>
      <c r="B2600" t="s">
        <v>8</v>
      </c>
      <c r="C2600">
        <v>1</v>
      </c>
      <c r="D2600">
        <v>1</v>
      </c>
      <c r="E2600">
        <v>135.49</v>
      </c>
      <c r="F2600">
        <v>3.5</v>
      </c>
      <c r="G2600">
        <v>100</v>
      </c>
    </row>
    <row r="2601" spans="1:7" ht="14" x14ac:dyDescent="0.3">
      <c r="A2601" t="s">
        <v>2629</v>
      </c>
      <c r="B2601" t="s">
        <v>8</v>
      </c>
      <c r="C2601">
        <v>1</v>
      </c>
      <c r="D2601">
        <v>1</v>
      </c>
      <c r="E2601">
        <v>135.49</v>
      </c>
      <c r="F2601">
        <v>4</v>
      </c>
      <c r="G2601">
        <v>100</v>
      </c>
    </row>
    <row r="2602" spans="1:7" ht="14" x14ac:dyDescent="0.3">
      <c r="A2602" t="s">
        <v>2630</v>
      </c>
      <c r="B2602" t="s">
        <v>42</v>
      </c>
      <c r="C2602">
        <v>1</v>
      </c>
      <c r="D2602">
        <v>1</v>
      </c>
      <c r="E2602">
        <v>135.47999999999999</v>
      </c>
      <c r="F2602">
        <v>5</v>
      </c>
      <c r="G2602">
        <v>100</v>
      </c>
    </row>
    <row r="2603" spans="1:7" ht="14" x14ac:dyDescent="0.3">
      <c r="A2603" t="s">
        <v>2631</v>
      </c>
      <c r="B2603" t="s">
        <v>8</v>
      </c>
      <c r="C2603">
        <v>1</v>
      </c>
      <c r="D2603">
        <v>1</v>
      </c>
      <c r="E2603">
        <v>134.6</v>
      </c>
      <c r="F2603">
        <v>5</v>
      </c>
      <c r="G2603">
        <v>100</v>
      </c>
    </row>
    <row r="2604" spans="1:7" ht="14" x14ac:dyDescent="0.3">
      <c r="A2604" t="s">
        <v>2632</v>
      </c>
      <c r="B2604" t="s">
        <v>42</v>
      </c>
      <c r="C2604">
        <v>1</v>
      </c>
      <c r="D2604">
        <v>2</v>
      </c>
      <c r="E2604">
        <v>134.47999999999999</v>
      </c>
      <c r="F2604">
        <v>5</v>
      </c>
      <c r="G2604">
        <v>100</v>
      </c>
    </row>
    <row r="2605" spans="1:7" ht="14" x14ac:dyDescent="0.3">
      <c r="A2605" t="s">
        <v>2633</v>
      </c>
      <c r="B2605" t="s">
        <v>8</v>
      </c>
      <c r="C2605">
        <v>4</v>
      </c>
      <c r="D2605">
        <v>4</v>
      </c>
      <c r="E2605">
        <v>134.31</v>
      </c>
      <c r="F2605">
        <v>3.5</v>
      </c>
      <c r="G2605">
        <v>75</v>
      </c>
    </row>
    <row r="2606" spans="1:7" ht="14" x14ac:dyDescent="0.3">
      <c r="A2606" t="s">
        <v>2634</v>
      </c>
      <c r="B2606" t="s">
        <v>24</v>
      </c>
      <c r="C2606">
        <v>1</v>
      </c>
      <c r="D2606">
        <v>1</v>
      </c>
      <c r="E2606">
        <v>133.96</v>
      </c>
      <c r="F2606">
        <v>4</v>
      </c>
      <c r="G2606">
        <v>100</v>
      </c>
    </row>
    <row r="2607" spans="1:7" ht="14" x14ac:dyDescent="0.3">
      <c r="A2607" t="s">
        <v>2635</v>
      </c>
      <c r="B2607" t="s">
        <v>8</v>
      </c>
      <c r="C2607">
        <v>1</v>
      </c>
      <c r="D2607">
        <v>1</v>
      </c>
      <c r="E2607">
        <v>133.84</v>
      </c>
      <c r="F2607">
        <v>5</v>
      </c>
      <c r="G2607">
        <v>100</v>
      </c>
    </row>
    <row r="2608" spans="1:7" ht="14" x14ac:dyDescent="0.3">
      <c r="A2608" t="s">
        <v>2636</v>
      </c>
      <c r="B2608" t="s">
        <v>24</v>
      </c>
      <c r="C2608">
        <v>1</v>
      </c>
      <c r="D2608">
        <v>1</v>
      </c>
      <c r="E2608">
        <v>133.80000000000001</v>
      </c>
      <c r="F2608">
        <v>1</v>
      </c>
      <c r="G2608">
        <v>100</v>
      </c>
    </row>
    <row r="2609" spans="1:7" ht="14" x14ac:dyDescent="0.3">
      <c r="A2609" t="s">
        <v>2637</v>
      </c>
      <c r="B2609" t="s">
        <v>8</v>
      </c>
      <c r="C2609">
        <v>3</v>
      </c>
      <c r="D2609">
        <v>3</v>
      </c>
      <c r="E2609">
        <v>133.6</v>
      </c>
      <c r="F2609">
        <v>2.67</v>
      </c>
      <c r="G2609">
        <v>66.7</v>
      </c>
    </row>
    <row r="2610" spans="1:7" ht="14" x14ac:dyDescent="0.3">
      <c r="A2610" t="s">
        <v>2638</v>
      </c>
      <c r="B2610" t="s">
        <v>24</v>
      </c>
      <c r="C2610">
        <v>1</v>
      </c>
      <c r="D2610">
        <v>1</v>
      </c>
      <c r="E2610">
        <v>132.06</v>
      </c>
      <c r="F2610">
        <v>1</v>
      </c>
      <c r="G2610">
        <v>0</v>
      </c>
    </row>
    <row r="2611" spans="1:7" ht="14" x14ac:dyDescent="0.3">
      <c r="A2611" t="s">
        <v>2639</v>
      </c>
      <c r="B2611" t="s">
        <v>32</v>
      </c>
      <c r="C2611">
        <v>1</v>
      </c>
      <c r="D2611">
        <v>3</v>
      </c>
      <c r="E2611">
        <v>130.65</v>
      </c>
      <c r="F2611">
        <v>5</v>
      </c>
      <c r="G2611">
        <v>100</v>
      </c>
    </row>
    <row r="2612" spans="1:7" ht="14" x14ac:dyDescent="0.3">
      <c r="A2612" t="s">
        <v>2640</v>
      </c>
      <c r="B2612" t="s">
        <v>101</v>
      </c>
      <c r="C2612">
        <v>1</v>
      </c>
      <c r="D2612">
        <v>1</v>
      </c>
      <c r="E2612">
        <v>129.63999999999999</v>
      </c>
      <c r="F2612">
        <v>5</v>
      </c>
      <c r="G2612">
        <v>100</v>
      </c>
    </row>
    <row r="2613" spans="1:7" ht="14" x14ac:dyDescent="0.3">
      <c r="A2613" t="s">
        <v>2641</v>
      </c>
      <c r="B2613" t="s">
        <v>8</v>
      </c>
      <c r="C2613">
        <v>1</v>
      </c>
      <c r="D2613">
        <v>2</v>
      </c>
      <c r="E2613">
        <v>129.56</v>
      </c>
      <c r="F2613">
        <v>5</v>
      </c>
      <c r="G2613">
        <v>100</v>
      </c>
    </row>
    <row r="2614" spans="1:7" ht="14" x14ac:dyDescent="0.3">
      <c r="A2614" t="s">
        <v>2642</v>
      </c>
      <c r="B2614" t="s">
        <v>8</v>
      </c>
      <c r="C2614">
        <v>1</v>
      </c>
      <c r="D2614">
        <v>1</v>
      </c>
      <c r="E2614">
        <v>129.56</v>
      </c>
      <c r="F2614">
        <v>5</v>
      </c>
      <c r="G2614">
        <v>100</v>
      </c>
    </row>
    <row r="2615" spans="1:7" ht="14" x14ac:dyDescent="0.3">
      <c r="A2615" t="s">
        <v>2643</v>
      </c>
      <c r="B2615" t="s">
        <v>152</v>
      </c>
      <c r="C2615">
        <v>2</v>
      </c>
      <c r="D2615">
        <v>2</v>
      </c>
      <c r="E2615">
        <v>129.32</v>
      </c>
      <c r="F2615">
        <v>3</v>
      </c>
      <c r="G2615">
        <v>100</v>
      </c>
    </row>
    <row r="2616" spans="1:7" ht="14" x14ac:dyDescent="0.3">
      <c r="A2616" t="s">
        <v>2644</v>
      </c>
      <c r="B2616" t="s">
        <v>8</v>
      </c>
      <c r="C2616">
        <v>1</v>
      </c>
      <c r="D2616">
        <v>2</v>
      </c>
      <c r="E2616">
        <v>129.16</v>
      </c>
      <c r="F2616">
        <v>4</v>
      </c>
      <c r="G2616">
        <v>100</v>
      </c>
    </row>
    <row r="2617" spans="1:7" ht="14" x14ac:dyDescent="0.3">
      <c r="A2617" t="s">
        <v>2645</v>
      </c>
      <c r="B2617" t="s">
        <v>8</v>
      </c>
      <c r="C2617">
        <v>2</v>
      </c>
      <c r="D2617">
        <v>3</v>
      </c>
      <c r="E2617">
        <v>127.99</v>
      </c>
      <c r="F2617">
        <v>1</v>
      </c>
      <c r="G2617">
        <v>33.299999999999997</v>
      </c>
    </row>
    <row r="2618" spans="1:7" ht="14" x14ac:dyDescent="0.3">
      <c r="A2618" t="s">
        <v>2646</v>
      </c>
      <c r="B2618" t="s">
        <v>8</v>
      </c>
      <c r="C2618">
        <v>1</v>
      </c>
      <c r="D2618">
        <v>1</v>
      </c>
      <c r="E2618">
        <v>127.2</v>
      </c>
      <c r="F2618">
        <v>4</v>
      </c>
      <c r="G2618">
        <v>100</v>
      </c>
    </row>
    <row r="2619" spans="1:7" ht="14" x14ac:dyDescent="0.3">
      <c r="A2619" t="s">
        <v>2647</v>
      </c>
      <c r="B2619" t="s">
        <v>8</v>
      </c>
      <c r="C2619">
        <v>1</v>
      </c>
      <c r="D2619">
        <v>1</v>
      </c>
      <c r="E2619">
        <v>126.87</v>
      </c>
      <c r="F2619">
        <v>4</v>
      </c>
      <c r="G2619">
        <v>100</v>
      </c>
    </row>
    <row r="2620" spans="1:7" ht="14" x14ac:dyDescent="0.3">
      <c r="A2620" t="s">
        <v>2648</v>
      </c>
      <c r="B2620" t="s">
        <v>8</v>
      </c>
      <c r="C2620">
        <v>1</v>
      </c>
      <c r="D2620">
        <v>1</v>
      </c>
      <c r="E2620">
        <v>126.34</v>
      </c>
      <c r="F2620">
        <v>4</v>
      </c>
      <c r="G2620">
        <v>100</v>
      </c>
    </row>
    <row r="2621" spans="1:7" ht="14" x14ac:dyDescent="0.3">
      <c r="A2621" t="s">
        <v>2649</v>
      </c>
      <c r="B2621" t="s">
        <v>8</v>
      </c>
      <c r="C2621">
        <v>1</v>
      </c>
      <c r="D2621">
        <v>2</v>
      </c>
      <c r="E2621">
        <v>125.74</v>
      </c>
      <c r="F2621">
        <v>2</v>
      </c>
      <c r="G2621">
        <v>100</v>
      </c>
    </row>
    <row r="2622" spans="1:7" ht="14" x14ac:dyDescent="0.3">
      <c r="A2622" t="s">
        <v>2650</v>
      </c>
      <c r="B2622" t="s">
        <v>8</v>
      </c>
      <c r="C2622">
        <v>2</v>
      </c>
      <c r="D2622">
        <v>6</v>
      </c>
      <c r="E2622">
        <v>125.73</v>
      </c>
      <c r="F2622">
        <v>1.5</v>
      </c>
      <c r="G2622">
        <v>50</v>
      </c>
    </row>
    <row r="2623" spans="1:7" ht="14" x14ac:dyDescent="0.3">
      <c r="A2623" t="s">
        <v>2651</v>
      </c>
      <c r="B2623" t="s">
        <v>24</v>
      </c>
      <c r="C2623">
        <v>1</v>
      </c>
      <c r="D2623">
        <v>1</v>
      </c>
      <c r="E2623">
        <v>125.64</v>
      </c>
      <c r="F2623">
        <v>5</v>
      </c>
      <c r="G2623">
        <v>100</v>
      </c>
    </row>
    <row r="2624" spans="1:7" ht="14" x14ac:dyDescent="0.3">
      <c r="A2624" t="s">
        <v>2652</v>
      </c>
      <c r="B2624" t="s">
        <v>548</v>
      </c>
      <c r="C2624">
        <v>1</v>
      </c>
      <c r="D2624">
        <v>1</v>
      </c>
      <c r="E2624">
        <v>125.64</v>
      </c>
      <c r="F2624">
        <v>5</v>
      </c>
      <c r="G2624">
        <v>100</v>
      </c>
    </row>
    <row r="2625" spans="1:7" ht="14" x14ac:dyDescent="0.3">
      <c r="A2625" t="s">
        <v>2653</v>
      </c>
      <c r="B2625" t="s">
        <v>8</v>
      </c>
      <c r="C2625">
        <v>1</v>
      </c>
      <c r="D2625">
        <v>1</v>
      </c>
      <c r="E2625">
        <v>125.52</v>
      </c>
      <c r="F2625">
        <v>5</v>
      </c>
      <c r="G2625">
        <v>100</v>
      </c>
    </row>
    <row r="2626" spans="1:7" ht="14" x14ac:dyDescent="0.3">
      <c r="A2626" t="s">
        <v>2654</v>
      </c>
      <c r="B2626" t="s">
        <v>8</v>
      </c>
      <c r="C2626">
        <v>3</v>
      </c>
      <c r="D2626">
        <v>3</v>
      </c>
      <c r="E2626">
        <v>125.27</v>
      </c>
      <c r="F2626">
        <v>4.33</v>
      </c>
      <c r="G2626">
        <v>66.7</v>
      </c>
    </row>
    <row r="2627" spans="1:7" ht="14" x14ac:dyDescent="0.3">
      <c r="A2627" t="s">
        <v>2655</v>
      </c>
      <c r="B2627" t="s">
        <v>8</v>
      </c>
      <c r="C2627">
        <v>1</v>
      </c>
      <c r="D2627">
        <v>2</v>
      </c>
      <c r="E2627">
        <v>125</v>
      </c>
      <c r="F2627">
        <v>2</v>
      </c>
      <c r="G2627">
        <v>100</v>
      </c>
    </row>
    <row r="2628" spans="1:7" ht="14" x14ac:dyDescent="0.3">
      <c r="A2628" t="s">
        <v>2656</v>
      </c>
      <c r="B2628" t="s">
        <v>8</v>
      </c>
      <c r="C2628">
        <v>2</v>
      </c>
      <c r="D2628">
        <v>3</v>
      </c>
      <c r="E2628">
        <v>124.57</v>
      </c>
      <c r="F2628">
        <v>3.67</v>
      </c>
      <c r="G2628">
        <v>66.7</v>
      </c>
    </row>
    <row r="2629" spans="1:7" ht="14" x14ac:dyDescent="0.3">
      <c r="A2629" t="s">
        <v>2657</v>
      </c>
      <c r="B2629" t="s">
        <v>32</v>
      </c>
      <c r="C2629">
        <v>2</v>
      </c>
      <c r="D2629">
        <v>2</v>
      </c>
      <c r="E2629">
        <v>124.33</v>
      </c>
      <c r="F2629">
        <v>4.5</v>
      </c>
      <c r="G2629">
        <v>50</v>
      </c>
    </row>
    <row r="2630" spans="1:7" ht="14" x14ac:dyDescent="0.3">
      <c r="A2630" t="s">
        <v>2658</v>
      </c>
      <c r="B2630" t="s">
        <v>32</v>
      </c>
      <c r="C2630">
        <v>2</v>
      </c>
      <c r="D2630">
        <v>3</v>
      </c>
      <c r="E2630">
        <v>124.29</v>
      </c>
      <c r="F2630">
        <v>3.33</v>
      </c>
      <c r="G2630">
        <v>100</v>
      </c>
    </row>
    <row r="2631" spans="1:7" ht="14" x14ac:dyDescent="0.3">
      <c r="A2631" t="s">
        <v>2659</v>
      </c>
      <c r="B2631" t="s">
        <v>87</v>
      </c>
      <c r="C2631">
        <v>2</v>
      </c>
      <c r="D2631">
        <v>2</v>
      </c>
      <c r="E2631">
        <v>123.87</v>
      </c>
      <c r="F2631">
        <v>4.5</v>
      </c>
      <c r="G2631">
        <v>100</v>
      </c>
    </row>
    <row r="2632" spans="1:7" ht="14" x14ac:dyDescent="0.3">
      <c r="A2632" t="s">
        <v>2660</v>
      </c>
      <c r="B2632" t="s">
        <v>8</v>
      </c>
      <c r="C2632">
        <v>3</v>
      </c>
      <c r="D2632">
        <v>3</v>
      </c>
      <c r="E2632">
        <v>123.75</v>
      </c>
      <c r="F2632">
        <v>5</v>
      </c>
      <c r="G2632">
        <v>100</v>
      </c>
    </row>
    <row r="2633" spans="1:7" ht="14" x14ac:dyDescent="0.3">
      <c r="A2633" t="s">
        <v>2661</v>
      </c>
      <c r="B2633" t="s">
        <v>32</v>
      </c>
      <c r="C2633">
        <v>3</v>
      </c>
      <c r="D2633">
        <v>3</v>
      </c>
      <c r="E2633">
        <v>123.73</v>
      </c>
      <c r="F2633">
        <v>4.67</v>
      </c>
      <c r="G2633">
        <v>100</v>
      </c>
    </row>
    <row r="2634" spans="1:7" ht="14" x14ac:dyDescent="0.3">
      <c r="A2634" t="s">
        <v>2662</v>
      </c>
      <c r="B2634" t="s">
        <v>8</v>
      </c>
      <c r="C2634">
        <v>1</v>
      </c>
      <c r="D2634">
        <v>1</v>
      </c>
      <c r="E2634">
        <v>122.98</v>
      </c>
      <c r="F2634">
        <v>4</v>
      </c>
      <c r="G2634">
        <v>100</v>
      </c>
    </row>
    <row r="2635" spans="1:7" ht="14" x14ac:dyDescent="0.3">
      <c r="A2635" t="s">
        <v>2663</v>
      </c>
      <c r="B2635" t="s">
        <v>8</v>
      </c>
      <c r="C2635">
        <v>1</v>
      </c>
      <c r="D2635">
        <v>1</v>
      </c>
      <c r="E2635">
        <v>121.62</v>
      </c>
      <c r="F2635">
        <v>3</v>
      </c>
      <c r="G2635">
        <v>100</v>
      </c>
    </row>
    <row r="2636" spans="1:7" ht="14" x14ac:dyDescent="0.3">
      <c r="A2636" t="s">
        <v>2664</v>
      </c>
      <c r="B2636" t="s">
        <v>8</v>
      </c>
      <c r="C2636">
        <v>1</v>
      </c>
      <c r="D2636">
        <v>1</v>
      </c>
      <c r="E2636">
        <v>121.51</v>
      </c>
      <c r="F2636">
        <v>5</v>
      </c>
      <c r="G2636">
        <v>100</v>
      </c>
    </row>
    <row r="2637" spans="1:7" ht="14" x14ac:dyDescent="0.3">
      <c r="A2637" t="s">
        <v>2665</v>
      </c>
      <c r="B2637" t="s">
        <v>8</v>
      </c>
      <c r="C2637">
        <v>2</v>
      </c>
      <c r="D2637">
        <v>2</v>
      </c>
      <c r="E2637">
        <v>120.88</v>
      </c>
      <c r="F2637">
        <v>5</v>
      </c>
      <c r="G2637">
        <v>100</v>
      </c>
    </row>
    <row r="2638" spans="1:7" ht="14" x14ac:dyDescent="0.3">
      <c r="A2638" t="s">
        <v>2666</v>
      </c>
      <c r="B2638" t="s">
        <v>8</v>
      </c>
      <c r="C2638">
        <v>2</v>
      </c>
      <c r="D2638">
        <v>3</v>
      </c>
      <c r="E2638">
        <v>120.81</v>
      </c>
      <c r="F2638">
        <v>5</v>
      </c>
      <c r="G2638">
        <v>100</v>
      </c>
    </row>
    <row r="2639" spans="1:7" ht="14" x14ac:dyDescent="0.3">
      <c r="A2639" t="s">
        <v>2667</v>
      </c>
      <c r="B2639" t="s">
        <v>87</v>
      </c>
      <c r="C2639">
        <v>1</v>
      </c>
      <c r="D2639">
        <v>1</v>
      </c>
      <c r="E2639">
        <v>120.8</v>
      </c>
      <c r="F2639">
        <v>5</v>
      </c>
      <c r="G2639">
        <v>100</v>
      </c>
    </row>
    <row r="2640" spans="1:7" ht="14" x14ac:dyDescent="0.3">
      <c r="A2640" t="s">
        <v>2668</v>
      </c>
      <c r="B2640" t="s">
        <v>8</v>
      </c>
      <c r="C2640">
        <v>1</v>
      </c>
      <c r="D2640">
        <v>1</v>
      </c>
      <c r="E2640">
        <v>120.78</v>
      </c>
      <c r="F2640">
        <v>5</v>
      </c>
      <c r="G2640">
        <v>100</v>
      </c>
    </row>
    <row r="2641" spans="1:7" ht="14" x14ac:dyDescent="0.3">
      <c r="A2641" t="s">
        <v>2669</v>
      </c>
      <c r="B2641" t="s">
        <v>8</v>
      </c>
      <c r="C2641">
        <v>1</v>
      </c>
      <c r="D2641">
        <v>1</v>
      </c>
      <c r="E2641">
        <v>120.76</v>
      </c>
      <c r="F2641">
        <v>3</v>
      </c>
      <c r="G2641">
        <v>100</v>
      </c>
    </row>
    <row r="2642" spans="1:7" ht="14" x14ac:dyDescent="0.3">
      <c r="A2642" t="s">
        <v>2670</v>
      </c>
      <c r="B2642" t="s">
        <v>22</v>
      </c>
      <c r="C2642">
        <v>1</v>
      </c>
      <c r="D2642">
        <v>1</v>
      </c>
      <c r="E2642">
        <v>120.3</v>
      </c>
      <c r="F2642">
        <v>5</v>
      </c>
      <c r="G2642">
        <v>100</v>
      </c>
    </row>
    <row r="2643" spans="1:7" ht="14" x14ac:dyDescent="0.3">
      <c r="A2643" t="s">
        <v>2671</v>
      </c>
      <c r="B2643" t="s">
        <v>8</v>
      </c>
      <c r="C2643">
        <v>1</v>
      </c>
      <c r="D2643">
        <v>1</v>
      </c>
      <c r="E2643">
        <v>119.7</v>
      </c>
      <c r="F2643">
        <v>4</v>
      </c>
      <c r="G2643">
        <v>100</v>
      </c>
    </row>
    <row r="2644" spans="1:7" ht="14" x14ac:dyDescent="0.3">
      <c r="A2644" t="s">
        <v>2672</v>
      </c>
      <c r="B2644" t="s">
        <v>32</v>
      </c>
      <c r="C2644">
        <v>1</v>
      </c>
      <c r="D2644">
        <v>1</v>
      </c>
      <c r="E2644">
        <v>119.69</v>
      </c>
      <c r="F2644">
        <v>5</v>
      </c>
      <c r="G2644">
        <v>100</v>
      </c>
    </row>
    <row r="2645" spans="1:7" ht="14" x14ac:dyDescent="0.3">
      <c r="A2645" t="s">
        <v>2673</v>
      </c>
      <c r="B2645" t="s">
        <v>32</v>
      </c>
      <c r="C2645">
        <v>2</v>
      </c>
      <c r="D2645">
        <v>2</v>
      </c>
      <c r="E2645">
        <v>118.84</v>
      </c>
      <c r="F2645">
        <v>5</v>
      </c>
      <c r="G2645">
        <v>100</v>
      </c>
    </row>
    <row r="2646" spans="1:7" ht="14" x14ac:dyDescent="0.3">
      <c r="A2646" t="s">
        <v>2674</v>
      </c>
      <c r="B2646" t="s">
        <v>8</v>
      </c>
      <c r="C2646">
        <v>1</v>
      </c>
      <c r="D2646">
        <v>1</v>
      </c>
      <c r="E2646">
        <v>118.59</v>
      </c>
      <c r="F2646">
        <v>4</v>
      </c>
      <c r="G2646">
        <v>0</v>
      </c>
    </row>
    <row r="2647" spans="1:7" ht="14" x14ac:dyDescent="0.3">
      <c r="A2647" t="s">
        <v>2675</v>
      </c>
      <c r="B2647" t="s">
        <v>24</v>
      </c>
      <c r="C2647">
        <v>1</v>
      </c>
      <c r="D2647">
        <v>3</v>
      </c>
      <c r="E2647">
        <v>117.87</v>
      </c>
      <c r="F2647">
        <v>5</v>
      </c>
      <c r="G2647">
        <v>100</v>
      </c>
    </row>
    <row r="2648" spans="1:7" ht="14" x14ac:dyDescent="0.3">
      <c r="A2648" t="s">
        <v>2676</v>
      </c>
      <c r="B2648" t="s">
        <v>8</v>
      </c>
      <c r="C2648">
        <v>2</v>
      </c>
      <c r="D2648">
        <v>2</v>
      </c>
      <c r="E2648">
        <v>117.06</v>
      </c>
      <c r="F2648">
        <v>3.5</v>
      </c>
      <c r="G2648">
        <v>100</v>
      </c>
    </row>
    <row r="2649" spans="1:7" ht="14" x14ac:dyDescent="0.3">
      <c r="A2649" t="s">
        <v>2677</v>
      </c>
      <c r="B2649" t="s">
        <v>22</v>
      </c>
      <c r="C2649">
        <v>1</v>
      </c>
      <c r="D2649">
        <v>1</v>
      </c>
      <c r="E2649">
        <v>116.04</v>
      </c>
      <c r="F2649">
        <v>5</v>
      </c>
      <c r="G2649">
        <v>100</v>
      </c>
    </row>
    <row r="2650" spans="1:7" ht="14" x14ac:dyDescent="0.3">
      <c r="A2650" t="s">
        <v>2678</v>
      </c>
      <c r="B2650" t="s">
        <v>24</v>
      </c>
      <c r="C2650">
        <v>2</v>
      </c>
      <c r="D2650">
        <v>2</v>
      </c>
      <c r="E2650">
        <v>115.52</v>
      </c>
      <c r="F2650">
        <v>4</v>
      </c>
      <c r="G2650">
        <v>100</v>
      </c>
    </row>
    <row r="2651" spans="1:7" ht="14" x14ac:dyDescent="0.3">
      <c r="A2651" t="s">
        <v>2679</v>
      </c>
      <c r="B2651" t="s">
        <v>8</v>
      </c>
      <c r="C2651">
        <v>2</v>
      </c>
      <c r="D2651">
        <v>2</v>
      </c>
      <c r="E2651">
        <v>115.11</v>
      </c>
      <c r="F2651">
        <v>5</v>
      </c>
      <c r="G2651">
        <v>100</v>
      </c>
    </row>
    <row r="2652" spans="1:7" ht="14" x14ac:dyDescent="0.3">
      <c r="A2652" t="s">
        <v>2680</v>
      </c>
      <c r="B2652" t="s">
        <v>24</v>
      </c>
      <c r="C2652">
        <v>1</v>
      </c>
      <c r="D2652">
        <v>1</v>
      </c>
      <c r="E2652">
        <v>114.57</v>
      </c>
      <c r="F2652">
        <v>5</v>
      </c>
      <c r="G2652">
        <v>100</v>
      </c>
    </row>
    <row r="2653" spans="1:7" ht="14" x14ac:dyDescent="0.3">
      <c r="A2653" t="s">
        <v>2681</v>
      </c>
      <c r="B2653" t="s">
        <v>8</v>
      </c>
      <c r="C2653">
        <v>2</v>
      </c>
      <c r="D2653">
        <v>2</v>
      </c>
      <c r="E2653">
        <v>114</v>
      </c>
      <c r="F2653">
        <v>4.5</v>
      </c>
      <c r="G2653">
        <v>100</v>
      </c>
    </row>
    <row r="2654" spans="1:7" ht="14" x14ac:dyDescent="0.3">
      <c r="A2654" t="s">
        <v>2682</v>
      </c>
      <c r="B2654" t="s">
        <v>8</v>
      </c>
      <c r="C2654">
        <v>1</v>
      </c>
      <c r="D2654">
        <v>1</v>
      </c>
      <c r="E2654">
        <v>113.9</v>
      </c>
      <c r="F2654">
        <v>5</v>
      </c>
      <c r="G2654">
        <v>100</v>
      </c>
    </row>
    <row r="2655" spans="1:7" ht="14" x14ac:dyDescent="0.3">
      <c r="A2655" t="s">
        <v>2683</v>
      </c>
      <c r="B2655" t="s">
        <v>32</v>
      </c>
      <c r="C2655">
        <v>1</v>
      </c>
      <c r="D2655">
        <v>1</v>
      </c>
      <c r="E2655">
        <v>113.87</v>
      </c>
      <c r="F2655">
        <v>4</v>
      </c>
      <c r="G2655">
        <v>100</v>
      </c>
    </row>
    <row r="2656" spans="1:7" ht="14" x14ac:dyDescent="0.3">
      <c r="A2656" t="s">
        <v>2684</v>
      </c>
      <c r="B2656" t="s">
        <v>24</v>
      </c>
      <c r="C2656">
        <v>1</v>
      </c>
      <c r="D2656">
        <v>1</v>
      </c>
      <c r="E2656">
        <v>113.69</v>
      </c>
      <c r="F2656">
        <v>5</v>
      </c>
      <c r="G2656">
        <v>100</v>
      </c>
    </row>
    <row r="2657" spans="1:7" ht="14" x14ac:dyDescent="0.3">
      <c r="A2657" t="s">
        <v>2685</v>
      </c>
      <c r="B2657" t="s">
        <v>8</v>
      </c>
      <c r="C2657">
        <v>2</v>
      </c>
      <c r="D2657">
        <v>4</v>
      </c>
      <c r="E2657">
        <v>112.63</v>
      </c>
      <c r="F2657">
        <v>5</v>
      </c>
      <c r="G2657">
        <v>100</v>
      </c>
    </row>
    <row r="2658" spans="1:7" ht="14" x14ac:dyDescent="0.3">
      <c r="A2658" t="s">
        <v>2686</v>
      </c>
      <c r="B2658" t="s">
        <v>8</v>
      </c>
      <c r="C2658">
        <v>2</v>
      </c>
      <c r="D2658">
        <v>3</v>
      </c>
      <c r="E2658">
        <v>112.58</v>
      </c>
      <c r="F2658">
        <v>4.33</v>
      </c>
      <c r="G2658">
        <v>100</v>
      </c>
    </row>
    <row r="2659" spans="1:7" ht="14" x14ac:dyDescent="0.3">
      <c r="A2659" t="s">
        <v>2687</v>
      </c>
      <c r="B2659" t="s">
        <v>8</v>
      </c>
      <c r="C2659">
        <v>1</v>
      </c>
      <c r="D2659">
        <v>1</v>
      </c>
      <c r="E2659">
        <v>111.91</v>
      </c>
      <c r="F2659">
        <v>4</v>
      </c>
      <c r="G2659">
        <v>100</v>
      </c>
    </row>
    <row r="2660" spans="1:7" ht="14" x14ac:dyDescent="0.3">
      <c r="A2660" t="s">
        <v>2688</v>
      </c>
      <c r="B2660" t="s">
        <v>8</v>
      </c>
      <c r="C2660">
        <v>1</v>
      </c>
      <c r="D2660">
        <v>1</v>
      </c>
      <c r="E2660">
        <v>111.76</v>
      </c>
      <c r="F2660">
        <v>5</v>
      </c>
      <c r="G2660">
        <v>100</v>
      </c>
    </row>
    <row r="2661" spans="1:7" ht="14" x14ac:dyDescent="0.3">
      <c r="A2661" t="s">
        <v>2689</v>
      </c>
      <c r="B2661" t="s">
        <v>8</v>
      </c>
      <c r="C2661">
        <v>1</v>
      </c>
      <c r="D2661">
        <v>1</v>
      </c>
      <c r="E2661">
        <v>110.3</v>
      </c>
      <c r="F2661">
        <v>4</v>
      </c>
      <c r="G2661">
        <v>100</v>
      </c>
    </row>
    <row r="2662" spans="1:7" ht="14" x14ac:dyDescent="0.3">
      <c r="A2662" t="s">
        <v>2690</v>
      </c>
      <c r="B2662" t="s">
        <v>8</v>
      </c>
      <c r="C2662">
        <v>2</v>
      </c>
      <c r="D2662">
        <v>4</v>
      </c>
      <c r="E2662">
        <v>110.17</v>
      </c>
      <c r="F2662">
        <v>3</v>
      </c>
      <c r="G2662">
        <v>100</v>
      </c>
    </row>
    <row r="2663" spans="1:7" ht="14" x14ac:dyDescent="0.3">
      <c r="A2663" t="s">
        <v>2691</v>
      </c>
      <c r="B2663" t="s">
        <v>8</v>
      </c>
      <c r="C2663">
        <v>2</v>
      </c>
      <c r="D2663">
        <v>2</v>
      </c>
      <c r="E2663">
        <v>110.08</v>
      </c>
      <c r="F2663">
        <v>4.5</v>
      </c>
      <c r="G2663">
        <v>100</v>
      </c>
    </row>
    <row r="2664" spans="1:7" ht="14" x14ac:dyDescent="0.3">
      <c r="A2664" t="s">
        <v>2692</v>
      </c>
      <c r="B2664" t="s">
        <v>8</v>
      </c>
      <c r="C2664">
        <v>1</v>
      </c>
      <c r="D2664">
        <v>1</v>
      </c>
      <c r="E2664">
        <v>110.08</v>
      </c>
      <c r="F2664">
        <v>5</v>
      </c>
      <c r="G2664">
        <v>100</v>
      </c>
    </row>
    <row r="2665" spans="1:7" ht="14" x14ac:dyDescent="0.3">
      <c r="A2665" t="s">
        <v>2693</v>
      </c>
      <c r="B2665" t="s">
        <v>32</v>
      </c>
      <c r="C2665">
        <v>1</v>
      </c>
      <c r="D2665">
        <v>1</v>
      </c>
      <c r="E2665">
        <v>109.9</v>
      </c>
      <c r="F2665">
        <v>5</v>
      </c>
      <c r="G2665">
        <v>100</v>
      </c>
    </row>
    <row r="2666" spans="1:7" ht="14" x14ac:dyDescent="0.3">
      <c r="A2666" t="s">
        <v>2694</v>
      </c>
      <c r="B2666" t="s">
        <v>8</v>
      </c>
      <c r="C2666">
        <v>1</v>
      </c>
      <c r="D2666">
        <v>1</v>
      </c>
      <c r="E2666">
        <v>109.72</v>
      </c>
      <c r="F2666">
        <v>1</v>
      </c>
      <c r="G2666">
        <v>0</v>
      </c>
    </row>
    <row r="2667" spans="1:7" ht="14" x14ac:dyDescent="0.3">
      <c r="A2667" t="s">
        <v>2695</v>
      </c>
      <c r="B2667" t="s">
        <v>24</v>
      </c>
      <c r="C2667">
        <v>1</v>
      </c>
      <c r="D2667">
        <v>1</v>
      </c>
      <c r="E2667">
        <v>109.42</v>
      </c>
      <c r="F2667">
        <v>3</v>
      </c>
      <c r="G2667">
        <v>100</v>
      </c>
    </row>
    <row r="2668" spans="1:7" ht="14" x14ac:dyDescent="0.3">
      <c r="A2668" t="s">
        <v>2696</v>
      </c>
      <c r="B2668" t="s">
        <v>42</v>
      </c>
      <c r="C2668">
        <v>2</v>
      </c>
      <c r="D2668">
        <v>2</v>
      </c>
      <c r="E2668">
        <v>109</v>
      </c>
      <c r="F2668">
        <v>5</v>
      </c>
      <c r="G2668">
        <v>100</v>
      </c>
    </row>
    <row r="2669" spans="1:7" ht="14" x14ac:dyDescent="0.3">
      <c r="A2669" t="s">
        <v>2697</v>
      </c>
      <c r="B2669" t="s">
        <v>22</v>
      </c>
      <c r="C2669">
        <v>1</v>
      </c>
      <c r="D2669">
        <v>1</v>
      </c>
      <c r="E2669">
        <v>108.86</v>
      </c>
      <c r="F2669">
        <v>1</v>
      </c>
      <c r="G2669">
        <v>0</v>
      </c>
    </row>
    <row r="2670" spans="1:7" ht="14" x14ac:dyDescent="0.3">
      <c r="A2670" t="s">
        <v>2698</v>
      </c>
      <c r="B2670" t="s">
        <v>8</v>
      </c>
      <c r="C2670">
        <v>1</v>
      </c>
      <c r="D2670">
        <v>1</v>
      </c>
      <c r="E2670">
        <v>108.72</v>
      </c>
      <c r="F2670">
        <v>4</v>
      </c>
      <c r="G2670">
        <v>100</v>
      </c>
    </row>
    <row r="2671" spans="1:7" ht="14" x14ac:dyDescent="0.3">
      <c r="A2671" t="s">
        <v>2699</v>
      </c>
      <c r="B2671" t="s">
        <v>8</v>
      </c>
      <c r="C2671">
        <v>1</v>
      </c>
      <c r="D2671">
        <v>1</v>
      </c>
      <c r="E2671">
        <v>108.63</v>
      </c>
      <c r="F2671">
        <v>4</v>
      </c>
      <c r="G2671">
        <v>100</v>
      </c>
    </row>
    <row r="2672" spans="1:7" ht="14" x14ac:dyDescent="0.3">
      <c r="A2672" t="s">
        <v>2700</v>
      </c>
      <c r="B2672" t="s">
        <v>32</v>
      </c>
      <c r="C2672">
        <v>1</v>
      </c>
      <c r="D2672">
        <v>1</v>
      </c>
      <c r="E2672">
        <v>108.6</v>
      </c>
      <c r="F2672">
        <v>5</v>
      </c>
      <c r="G2672">
        <v>100</v>
      </c>
    </row>
    <row r="2673" spans="1:7" ht="14" x14ac:dyDescent="0.3">
      <c r="A2673" t="s">
        <v>2701</v>
      </c>
      <c r="B2673" t="s">
        <v>42</v>
      </c>
      <c r="C2673">
        <v>2</v>
      </c>
      <c r="D2673">
        <v>3</v>
      </c>
      <c r="E2673">
        <v>108.02</v>
      </c>
      <c r="F2673">
        <v>5</v>
      </c>
      <c r="G2673">
        <v>100</v>
      </c>
    </row>
    <row r="2674" spans="1:7" ht="14" x14ac:dyDescent="0.3">
      <c r="A2674" t="s">
        <v>2702</v>
      </c>
      <c r="B2674" t="s">
        <v>8</v>
      </c>
      <c r="C2674">
        <v>1</v>
      </c>
      <c r="D2674">
        <v>1</v>
      </c>
      <c r="E2674">
        <v>107.9</v>
      </c>
      <c r="F2674">
        <v>5</v>
      </c>
      <c r="G2674">
        <v>100</v>
      </c>
    </row>
    <row r="2675" spans="1:7" ht="14" x14ac:dyDescent="0.3">
      <c r="A2675" t="s">
        <v>2703</v>
      </c>
      <c r="B2675" t="s">
        <v>42</v>
      </c>
      <c r="C2675">
        <v>2</v>
      </c>
      <c r="D2675">
        <v>2</v>
      </c>
      <c r="E2675">
        <v>107.75</v>
      </c>
      <c r="F2675">
        <v>5</v>
      </c>
      <c r="G2675">
        <v>100</v>
      </c>
    </row>
    <row r="2676" spans="1:7" ht="14" x14ac:dyDescent="0.3">
      <c r="A2676" t="s">
        <v>2704</v>
      </c>
      <c r="B2676" t="s">
        <v>309</v>
      </c>
      <c r="C2676">
        <v>1</v>
      </c>
      <c r="D2676">
        <v>1</v>
      </c>
      <c r="E2676">
        <v>107.3</v>
      </c>
      <c r="F2676">
        <v>5</v>
      </c>
      <c r="G2676">
        <v>100</v>
      </c>
    </row>
    <row r="2677" spans="1:7" ht="14" x14ac:dyDescent="0.3">
      <c r="A2677" t="s">
        <v>2705</v>
      </c>
      <c r="B2677" t="s">
        <v>24</v>
      </c>
      <c r="C2677">
        <v>1</v>
      </c>
      <c r="D2677">
        <v>1</v>
      </c>
      <c r="E2677">
        <v>107.01</v>
      </c>
      <c r="F2677">
        <v>5</v>
      </c>
      <c r="G2677">
        <v>100</v>
      </c>
    </row>
    <row r="2678" spans="1:7" ht="14" x14ac:dyDescent="0.3">
      <c r="A2678" t="s">
        <v>2706</v>
      </c>
      <c r="B2678" t="s">
        <v>42</v>
      </c>
      <c r="C2678">
        <v>1</v>
      </c>
      <c r="D2678">
        <v>1</v>
      </c>
      <c r="E2678">
        <v>106.73</v>
      </c>
      <c r="F2678">
        <v>5</v>
      </c>
      <c r="G2678">
        <v>100</v>
      </c>
    </row>
    <row r="2679" spans="1:7" ht="14" x14ac:dyDescent="0.3">
      <c r="A2679" t="s">
        <v>2707</v>
      </c>
      <c r="B2679" t="s">
        <v>8</v>
      </c>
      <c r="C2679">
        <v>1</v>
      </c>
      <c r="D2679">
        <v>1</v>
      </c>
      <c r="E2679">
        <v>106.55</v>
      </c>
      <c r="F2679">
        <v>5</v>
      </c>
      <c r="G2679">
        <v>100</v>
      </c>
    </row>
    <row r="2680" spans="1:7" ht="14" x14ac:dyDescent="0.3">
      <c r="A2680" t="s">
        <v>2708</v>
      </c>
      <c r="B2680" t="s">
        <v>8</v>
      </c>
      <c r="C2680">
        <v>2</v>
      </c>
      <c r="D2680">
        <v>2</v>
      </c>
      <c r="E2680">
        <v>106.46</v>
      </c>
      <c r="F2680">
        <v>3</v>
      </c>
      <c r="G2680">
        <v>50</v>
      </c>
    </row>
    <row r="2681" spans="1:7" ht="14" x14ac:dyDescent="0.3">
      <c r="A2681" t="s">
        <v>2709</v>
      </c>
      <c r="B2681" t="s">
        <v>24</v>
      </c>
      <c r="C2681">
        <v>1</v>
      </c>
      <c r="D2681">
        <v>1</v>
      </c>
      <c r="E2681">
        <v>106.39</v>
      </c>
      <c r="F2681">
        <v>5</v>
      </c>
      <c r="G2681">
        <v>100</v>
      </c>
    </row>
    <row r="2682" spans="1:7" ht="14" x14ac:dyDescent="0.3">
      <c r="A2682" t="s">
        <v>2710</v>
      </c>
      <c r="B2682" t="s">
        <v>24</v>
      </c>
      <c r="C2682">
        <v>1</v>
      </c>
      <c r="D2682">
        <v>1</v>
      </c>
      <c r="E2682">
        <v>106.35</v>
      </c>
      <c r="F2682">
        <v>3</v>
      </c>
      <c r="G2682">
        <v>100</v>
      </c>
    </row>
    <row r="2683" spans="1:7" ht="14" x14ac:dyDescent="0.3">
      <c r="A2683" t="s">
        <v>2711</v>
      </c>
      <c r="B2683" t="s">
        <v>87</v>
      </c>
      <c r="C2683">
        <v>1</v>
      </c>
      <c r="D2683">
        <v>1</v>
      </c>
      <c r="E2683">
        <v>106.33</v>
      </c>
      <c r="F2683">
        <v>4</v>
      </c>
      <c r="G2683">
        <v>100</v>
      </c>
    </row>
    <row r="2684" spans="1:7" ht="14" x14ac:dyDescent="0.3">
      <c r="A2684" t="s">
        <v>2712</v>
      </c>
      <c r="B2684" t="s">
        <v>8</v>
      </c>
      <c r="C2684">
        <v>2</v>
      </c>
      <c r="D2684">
        <v>2</v>
      </c>
      <c r="E2684">
        <v>105.75</v>
      </c>
      <c r="F2684">
        <v>3</v>
      </c>
      <c r="G2684">
        <v>0</v>
      </c>
    </row>
    <row r="2685" spans="1:7" ht="14" x14ac:dyDescent="0.3">
      <c r="A2685" t="s">
        <v>2713</v>
      </c>
      <c r="B2685" t="s">
        <v>42</v>
      </c>
      <c r="C2685">
        <v>2</v>
      </c>
      <c r="D2685">
        <v>2</v>
      </c>
      <c r="E2685">
        <v>105.64</v>
      </c>
      <c r="F2685">
        <v>4.5</v>
      </c>
      <c r="G2685">
        <v>100</v>
      </c>
    </row>
    <row r="2686" spans="1:7" ht="14" x14ac:dyDescent="0.3">
      <c r="A2686" t="s">
        <v>2714</v>
      </c>
      <c r="B2686" t="s">
        <v>87</v>
      </c>
      <c r="C2686">
        <v>1</v>
      </c>
      <c r="D2686">
        <v>2</v>
      </c>
      <c r="E2686">
        <v>105.57</v>
      </c>
      <c r="F2686">
        <v>5</v>
      </c>
      <c r="G2686">
        <v>100</v>
      </c>
    </row>
    <row r="2687" spans="1:7" ht="14" x14ac:dyDescent="0.3">
      <c r="A2687" t="s">
        <v>2715</v>
      </c>
      <c r="B2687" t="s">
        <v>22</v>
      </c>
      <c r="C2687">
        <v>1</v>
      </c>
      <c r="D2687">
        <v>1</v>
      </c>
      <c r="E2687">
        <v>105.45</v>
      </c>
      <c r="F2687">
        <v>5</v>
      </c>
      <c r="G2687">
        <v>100</v>
      </c>
    </row>
    <row r="2688" spans="1:7" ht="14" x14ac:dyDescent="0.3">
      <c r="A2688" t="s">
        <v>2716</v>
      </c>
      <c r="B2688" t="s">
        <v>32</v>
      </c>
      <c r="C2688">
        <v>1</v>
      </c>
      <c r="D2688">
        <v>1</v>
      </c>
      <c r="E2688">
        <v>105.34</v>
      </c>
      <c r="F2688">
        <v>5</v>
      </c>
      <c r="G2688">
        <v>100</v>
      </c>
    </row>
    <row r="2689" spans="1:7" ht="14" x14ac:dyDescent="0.3">
      <c r="A2689" t="s">
        <v>2717</v>
      </c>
      <c r="B2689" t="s">
        <v>42</v>
      </c>
      <c r="C2689">
        <v>1</v>
      </c>
      <c r="D2689">
        <v>1</v>
      </c>
      <c r="E2689">
        <v>105.28</v>
      </c>
      <c r="F2689">
        <v>5</v>
      </c>
      <c r="G2689">
        <v>100</v>
      </c>
    </row>
    <row r="2690" spans="1:7" ht="14" x14ac:dyDescent="0.3">
      <c r="A2690" t="s">
        <v>2718</v>
      </c>
      <c r="B2690" t="s">
        <v>8</v>
      </c>
      <c r="C2690">
        <v>2</v>
      </c>
      <c r="D2690">
        <v>2</v>
      </c>
      <c r="E2690">
        <v>105.02</v>
      </c>
      <c r="F2690">
        <v>3</v>
      </c>
      <c r="G2690">
        <v>100</v>
      </c>
    </row>
    <row r="2691" spans="1:7" ht="14" x14ac:dyDescent="0.3">
      <c r="A2691" t="s">
        <v>2719</v>
      </c>
      <c r="B2691" t="s">
        <v>8</v>
      </c>
      <c r="C2691">
        <v>2</v>
      </c>
      <c r="D2691">
        <v>2</v>
      </c>
      <c r="E2691">
        <v>104.87</v>
      </c>
      <c r="F2691">
        <v>4</v>
      </c>
      <c r="G2691">
        <v>100</v>
      </c>
    </row>
    <row r="2692" spans="1:7" ht="14" x14ac:dyDescent="0.3">
      <c r="A2692" t="s">
        <v>2720</v>
      </c>
      <c r="B2692" t="s">
        <v>8</v>
      </c>
      <c r="C2692">
        <v>1</v>
      </c>
      <c r="D2692">
        <v>1</v>
      </c>
      <c r="E2692">
        <v>103.7</v>
      </c>
      <c r="F2692">
        <v>5</v>
      </c>
      <c r="G2692">
        <v>100</v>
      </c>
    </row>
    <row r="2693" spans="1:7" ht="14" x14ac:dyDescent="0.3">
      <c r="A2693" t="s">
        <v>2721</v>
      </c>
      <c r="B2693" t="s">
        <v>8</v>
      </c>
      <c r="C2693">
        <v>2</v>
      </c>
      <c r="D2693">
        <v>2</v>
      </c>
      <c r="E2693">
        <v>103.49</v>
      </c>
      <c r="F2693">
        <v>5</v>
      </c>
      <c r="G2693">
        <v>100</v>
      </c>
    </row>
    <row r="2694" spans="1:7" ht="14" x14ac:dyDescent="0.3">
      <c r="A2694" t="s">
        <v>2722</v>
      </c>
      <c r="B2694" t="s">
        <v>8</v>
      </c>
      <c r="C2694">
        <v>1</v>
      </c>
      <c r="D2694">
        <v>1</v>
      </c>
      <c r="E2694">
        <v>103.37</v>
      </c>
      <c r="F2694">
        <v>1</v>
      </c>
      <c r="G2694">
        <v>0</v>
      </c>
    </row>
    <row r="2695" spans="1:7" ht="14" x14ac:dyDescent="0.3">
      <c r="A2695" t="s">
        <v>2723</v>
      </c>
      <c r="B2695" t="s">
        <v>8</v>
      </c>
      <c r="C2695">
        <v>1</v>
      </c>
      <c r="D2695">
        <v>1</v>
      </c>
      <c r="E2695">
        <v>102.9</v>
      </c>
      <c r="F2695">
        <v>5</v>
      </c>
      <c r="G2695">
        <v>100</v>
      </c>
    </row>
    <row r="2696" spans="1:7" ht="14" x14ac:dyDescent="0.3">
      <c r="A2696" t="s">
        <v>2724</v>
      </c>
      <c r="B2696" t="s">
        <v>32</v>
      </c>
      <c r="C2696">
        <v>1</v>
      </c>
      <c r="D2696">
        <v>1</v>
      </c>
      <c r="E2696">
        <v>102.48</v>
      </c>
      <c r="F2696">
        <v>3</v>
      </c>
      <c r="G2696">
        <v>100</v>
      </c>
    </row>
    <row r="2697" spans="1:7" ht="14" x14ac:dyDescent="0.3">
      <c r="A2697" t="s">
        <v>2725</v>
      </c>
      <c r="B2697" t="s">
        <v>24</v>
      </c>
      <c r="C2697">
        <v>1</v>
      </c>
      <c r="D2697">
        <v>3</v>
      </c>
      <c r="E2697">
        <v>102.3</v>
      </c>
      <c r="F2697">
        <v>5</v>
      </c>
      <c r="G2697">
        <v>100</v>
      </c>
    </row>
    <row r="2698" spans="1:7" ht="14" x14ac:dyDescent="0.3">
      <c r="A2698" t="s">
        <v>2726</v>
      </c>
      <c r="B2698" t="s">
        <v>8</v>
      </c>
      <c r="C2698">
        <v>2</v>
      </c>
      <c r="D2698">
        <v>2</v>
      </c>
      <c r="E2698">
        <v>101.99</v>
      </c>
      <c r="F2698">
        <v>4</v>
      </c>
      <c r="G2698">
        <v>100</v>
      </c>
    </row>
    <row r="2699" spans="1:7" ht="14" x14ac:dyDescent="0.3">
      <c r="A2699" t="s">
        <v>2727</v>
      </c>
      <c r="B2699" t="s">
        <v>8</v>
      </c>
      <c r="C2699">
        <v>3</v>
      </c>
      <c r="D2699">
        <v>3</v>
      </c>
      <c r="E2699">
        <v>101.38</v>
      </c>
      <c r="F2699">
        <v>5</v>
      </c>
      <c r="G2699">
        <v>100</v>
      </c>
    </row>
    <row r="2700" spans="1:7" ht="14" x14ac:dyDescent="0.3">
      <c r="A2700" t="s">
        <v>2728</v>
      </c>
      <c r="B2700" t="s">
        <v>309</v>
      </c>
      <c r="C2700">
        <v>1</v>
      </c>
      <c r="D2700">
        <v>3</v>
      </c>
      <c r="E2700">
        <v>100.78</v>
      </c>
      <c r="F2700">
        <v>1</v>
      </c>
      <c r="G2700">
        <v>100</v>
      </c>
    </row>
    <row r="2701" spans="1:7" ht="14" x14ac:dyDescent="0.3">
      <c r="A2701" t="s">
        <v>2729</v>
      </c>
      <c r="B2701" t="s">
        <v>8</v>
      </c>
      <c r="C2701">
        <v>2</v>
      </c>
      <c r="D2701">
        <v>3</v>
      </c>
      <c r="E2701">
        <v>100.01</v>
      </c>
      <c r="F2701">
        <v>3.67</v>
      </c>
      <c r="G2701">
        <v>100</v>
      </c>
    </row>
    <row r="2702" spans="1:7" ht="14" x14ac:dyDescent="0.3">
      <c r="A2702" t="s">
        <v>2730</v>
      </c>
      <c r="B2702" t="s">
        <v>24</v>
      </c>
      <c r="C2702">
        <v>1</v>
      </c>
      <c r="D2702">
        <v>1</v>
      </c>
      <c r="E2702">
        <v>99.83</v>
      </c>
      <c r="F2702">
        <v>1</v>
      </c>
      <c r="G2702">
        <v>100</v>
      </c>
    </row>
    <row r="2703" spans="1:7" ht="14" x14ac:dyDescent="0.3">
      <c r="A2703" t="s">
        <v>2731</v>
      </c>
      <c r="B2703" t="s">
        <v>8</v>
      </c>
      <c r="C2703">
        <v>2</v>
      </c>
      <c r="D2703">
        <v>2</v>
      </c>
      <c r="E2703">
        <v>99.67</v>
      </c>
      <c r="F2703">
        <v>4.5</v>
      </c>
      <c r="G2703">
        <v>100</v>
      </c>
    </row>
    <row r="2704" spans="1:7" ht="14" x14ac:dyDescent="0.3">
      <c r="A2704" t="s">
        <v>2732</v>
      </c>
      <c r="B2704" t="s">
        <v>42</v>
      </c>
      <c r="C2704">
        <v>1</v>
      </c>
      <c r="D2704">
        <v>1</v>
      </c>
      <c r="E2704">
        <v>98.9</v>
      </c>
      <c r="F2704">
        <v>5</v>
      </c>
      <c r="G2704">
        <v>100</v>
      </c>
    </row>
    <row r="2705" spans="1:7" ht="14" x14ac:dyDescent="0.3">
      <c r="A2705" t="s">
        <v>2733</v>
      </c>
      <c r="B2705" t="s">
        <v>8</v>
      </c>
      <c r="C2705">
        <v>1</v>
      </c>
      <c r="D2705">
        <v>1</v>
      </c>
      <c r="E2705">
        <v>98.56</v>
      </c>
      <c r="F2705">
        <v>5</v>
      </c>
      <c r="G2705">
        <v>100</v>
      </c>
    </row>
    <row r="2706" spans="1:7" ht="14" x14ac:dyDescent="0.3">
      <c r="A2706" t="s">
        <v>2734</v>
      </c>
      <c r="B2706" t="s">
        <v>32</v>
      </c>
      <c r="C2706">
        <v>1</v>
      </c>
      <c r="D2706">
        <v>1</v>
      </c>
      <c r="E2706">
        <v>98.42</v>
      </c>
      <c r="F2706">
        <v>5</v>
      </c>
      <c r="G2706">
        <v>100</v>
      </c>
    </row>
    <row r="2707" spans="1:7" ht="14" x14ac:dyDescent="0.3">
      <c r="A2707" t="s">
        <v>2735</v>
      </c>
      <c r="B2707" t="s">
        <v>8</v>
      </c>
      <c r="C2707">
        <v>1</v>
      </c>
      <c r="D2707">
        <v>1</v>
      </c>
      <c r="E2707">
        <v>98.37</v>
      </c>
      <c r="F2707">
        <v>5</v>
      </c>
      <c r="G2707">
        <v>100</v>
      </c>
    </row>
    <row r="2708" spans="1:7" ht="14" x14ac:dyDescent="0.3">
      <c r="A2708" t="s">
        <v>2736</v>
      </c>
      <c r="B2708" t="s">
        <v>8</v>
      </c>
      <c r="C2708">
        <v>1</v>
      </c>
      <c r="D2708">
        <v>1</v>
      </c>
      <c r="E2708">
        <v>98.34</v>
      </c>
      <c r="F2708">
        <v>5</v>
      </c>
      <c r="G2708">
        <v>100</v>
      </c>
    </row>
    <row r="2709" spans="1:7" ht="14" x14ac:dyDescent="0.3">
      <c r="A2709" t="s">
        <v>2737</v>
      </c>
      <c r="B2709" t="s">
        <v>309</v>
      </c>
      <c r="C2709">
        <v>1</v>
      </c>
      <c r="D2709">
        <v>1</v>
      </c>
      <c r="E2709">
        <v>97.88</v>
      </c>
      <c r="F2709">
        <v>5</v>
      </c>
      <c r="G2709">
        <v>100</v>
      </c>
    </row>
    <row r="2710" spans="1:7" ht="14" x14ac:dyDescent="0.3">
      <c r="A2710" t="s">
        <v>2738</v>
      </c>
      <c r="B2710" t="s">
        <v>8</v>
      </c>
      <c r="C2710">
        <v>1</v>
      </c>
      <c r="D2710">
        <v>1</v>
      </c>
      <c r="E2710">
        <v>97.78</v>
      </c>
      <c r="F2710">
        <v>5</v>
      </c>
      <c r="G2710">
        <v>100</v>
      </c>
    </row>
    <row r="2711" spans="1:7" ht="14" x14ac:dyDescent="0.3">
      <c r="A2711" t="s">
        <v>2739</v>
      </c>
      <c r="B2711" t="s">
        <v>42</v>
      </c>
      <c r="C2711">
        <v>1</v>
      </c>
      <c r="D2711">
        <v>1</v>
      </c>
      <c r="E2711">
        <v>97.71</v>
      </c>
      <c r="F2711">
        <v>1</v>
      </c>
      <c r="G2711">
        <v>0</v>
      </c>
    </row>
    <row r="2712" spans="1:7" ht="14" x14ac:dyDescent="0.3">
      <c r="A2712" t="s">
        <v>2740</v>
      </c>
      <c r="B2712" t="s">
        <v>42</v>
      </c>
      <c r="C2712">
        <v>1</v>
      </c>
      <c r="D2712">
        <v>1</v>
      </c>
      <c r="E2712">
        <v>97.66</v>
      </c>
      <c r="F2712">
        <v>5</v>
      </c>
      <c r="G2712">
        <v>100</v>
      </c>
    </row>
    <row r="2713" spans="1:7" ht="14" x14ac:dyDescent="0.3">
      <c r="A2713" t="s">
        <v>2741</v>
      </c>
      <c r="B2713" t="s">
        <v>42</v>
      </c>
      <c r="C2713">
        <v>2</v>
      </c>
      <c r="D2713">
        <v>2</v>
      </c>
      <c r="E2713">
        <v>97.62</v>
      </c>
      <c r="F2713">
        <v>5</v>
      </c>
      <c r="G2713">
        <v>100</v>
      </c>
    </row>
    <row r="2714" spans="1:7" ht="14" x14ac:dyDescent="0.3">
      <c r="A2714" t="s">
        <v>2742</v>
      </c>
      <c r="B2714" t="s">
        <v>42</v>
      </c>
      <c r="C2714">
        <v>1</v>
      </c>
      <c r="D2714">
        <v>1</v>
      </c>
      <c r="E2714">
        <v>97</v>
      </c>
      <c r="F2714">
        <v>5</v>
      </c>
      <c r="G2714">
        <v>100</v>
      </c>
    </row>
    <row r="2715" spans="1:7" ht="14" x14ac:dyDescent="0.3">
      <c r="A2715" t="s">
        <v>2743</v>
      </c>
      <c r="B2715" t="s">
        <v>8</v>
      </c>
      <c r="C2715">
        <v>1</v>
      </c>
      <c r="D2715">
        <v>1</v>
      </c>
      <c r="E2715">
        <v>96.88</v>
      </c>
      <c r="F2715">
        <v>4</v>
      </c>
      <c r="G2715">
        <v>100</v>
      </c>
    </row>
    <row r="2716" spans="1:7" ht="14" x14ac:dyDescent="0.3">
      <c r="A2716" t="s">
        <v>2744</v>
      </c>
      <c r="B2716" t="s">
        <v>8</v>
      </c>
      <c r="C2716">
        <v>1</v>
      </c>
      <c r="D2716">
        <v>1</v>
      </c>
      <c r="E2716">
        <v>96.71</v>
      </c>
      <c r="F2716">
        <v>5</v>
      </c>
      <c r="G2716">
        <v>100</v>
      </c>
    </row>
    <row r="2717" spans="1:7" ht="14" x14ac:dyDescent="0.3">
      <c r="A2717" t="s">
        <v>2745</v>
      </c>
      <c r="B2717" t="s">
        <v>42</v>
      </c>
      <c r="C2717">
        <v>1</v>
      </c>
      <c r="D2717">
        <v>1</v>
      </c>
      <c r="E2717">
        <v>96.33</v>
      </c>
      <c r="F2717">
        <v>4</v>
      </c>
      <c r="G2717">
        <v>100</v>
      </c>
    </row>
    <row r="2718" spans="1:7" ht="14" x14ac:dyDescent="0.3">
      <c r="A2718" t="s">
        <v>2746</v>
      </c>
      <c r="B2718" t="s">
        <v>8</v>
      </c>
      <c r="C2718">
        <v>1</v>
      </c>
      <c r="D2718">
        <v>1</v>
      </c>
      <c r="E2718">
        <v>96.1</v>
      </c>
      <c r="F2718">
        <v>5</v>
      </c>
      <c r="G2718">
        <v>100</v>
      </c>
    </row>
    <row r="2719" spans="1:7" ht="14" x14ac:dyDescent="0.3">
      <c r="A2719" t="s">
        <v>2747</v>
      </c>
      <c r="B2719" t="s">
        <v>8</v>
      </c>
      <c r="C2719">
        <v>1</v>
      </c>
      <c r="D2719">
        <v>1</v>
      </c>
      <c r="E2719">
        <v>95.65</v>
      </c>
      <c r="F2719">
        <v>5</v>
      </c>
      <c r="G2719">
        <v>100</v>
      </c>
    </row>
    <row r="2720" spans="1:7" ht="14" x14ac:dyDescent="0.3">
      <c r="A2720" t="s">
        <v>2748</v>
      </c>
      <c r="B2720" t="s">
        <v>8</v>
      </c>
      <c r="C2720">
        <v>3</v>
      </c>
      <c r="D2720">
        <v>3</v>
      </c>
      <c r="E2720">
        <v>95.24</v>
      </c>
      <c r="F2720">
        <v>5</v>
      </c>
      <c r="G2720">
        <v>100</v>
      </c>
    </row>
    <row r="2721" spans="1:7" ht="14" x14ac:dyDescent="0.3">
      <c r="A2721" t="s">
        <v>2749</v>
      </c>
      <c r="B2721" t="s">
        <v>24</v>
      </c>
      <c r="C2721">
        <v>1</v>
      </c>
      <c r="D2721">
        <v>1</v>
      </c>
      <c r="E2721">
        <v>94.77</v>
      </c>
      <c r="F2721">
        <v>5</v>
      </c>
      <c r="G2721">
        <v>100</v>
      </c>
    </row>
    <row r="2722" spans="1:7" ht="14" x14ac:dyDescent="0.3">
      <c r="A2722" t="s">
        <v>2750</v>
      </c>
      <c r="B2722" t="s">
        <v>8</v>
      </c>
      <c r="C2722">
        <v>2</v>
      </c>
      <c r="D2722">
        <v>2</v>
      </c>
      <c r="E2722">
        <v>94.76</v>
      </c>
      <c r="F2722">
        <v>3</v>
      </c>
      <c r="G2722">
        <v>100</v>
      </c>
    </row>
    <row r="2723" spans="1:7" ht="14" x14ac:dyDescent="0.3">
      <c r="A2723" t="s">
        <v>2751</v>
      </c>
      <c r="B2723" t="s">
        <v>8</v>
      </c>
      <c r="C2723">
        <v>1</v>
      </c>
      <c r="D2723">
        <v>2</v>
      </c>
      <c r="E2723">
        <v>94.04</v>
      </c>
      <c r="F2723">
        <v>5</v>
      </c>
      <c r="G2723">
        <v>100</v>
      </c>
    </row>
    <row r="2724" spans="1:7" ht="14" x14ac:dyDescent="0.3">
      <c r="A2724" t="s">
        <v>2752</v>
      </c>
      <c r="B2724" t="s">
        <v>8</v>
      </c>
      <c r="C2724">
        <v>2</v>
      </c>
      <c r="D2724">
        <v>2</v>
      </c>
      <c r="E2724">
        <v>93.55</v>
      </c>
      <c r="F2724">
        <v>3</v>
      </c>
      <c r="G2724">
        <v>100</v>
      </c>
    </row>
    <row r="2725" spans="1:7" ht="14" x14ac:dyDescent="0.3">
      <c r="A2725" t="s">
        <v>2753</v>
      </c>
      <c r="B2725" t="s">
        <v>24</v>
      </c>
      <c r="C2725">
        <v>1</v>
      </c>
      <c r="D2725">
        <v>1</v>
      </c>
      <c r="E2725">
        <v>93.54</v>
      </c>
      <c r="F2725">
        <v>4</v>
      </c>
      <c r="G2725">
        <v>100</v>
      </c>
    </row>
    <row r="2726" spans="1:7" ht="14" x14ac:dyDescent="0.3">
      <c r="A2726" t="s">
        <v>2754</v>
      </c>
      <c r="B2726" t="s">
        <v>8</v>
      </c>
      <c r="C2726">
        <v>1</v>
      </c>
      <c r="D2726">
        <v>1</v>
      </c>
      <c r="E2726">
        <v>93.53</v>
      </c>
      <c r="F2726">
        <v>5</v>
      </c>
      <c r="G2726">
        <v>100</v>
      </c>
    </row>
    <row r="2727" spans="1:7" ht="14" x14ac:dyDescent="0.3">
      <c r="A2727" t="s">
        <v>2755</v>
      </c>
      <c r="B2727" t="s">
        <v>8</v>
      </c>
      <c r="C2727">
        <v>1</v>
      </c>
      <c r="D2727">
        <v>1</v>
      </c>
      <c r="E2727">
        <v>93.13</v>
      </c>
      <c r="F2727">
        <v>5</v>
      </c>
      <c r="G2727">
        <v>100</v>
      </c>
    </row>
    <row r="2728" spans="1:7" ht="14" x14ac:dyDescent="0.3">
      <c r="A2728" t="s">
        <v>2756</v>
      </c>
      <c r="B2728" t="s">
        <v>8</v>
      </c>
      <c r="C2728">
        <v>1</v>
      </c>
      <c r="D2728">
        <v>1</v>
      </c>
      <c r="E2728">
        <v>92.97</v>
      </c>
      <c r="F2728">
        <v>5</v>
      </c>
      <c r="G2728">
        <v>100</v>
      </c>
    </row>
    <row r="2729" spans="1:7" ht="14" x14ac:dyDescent="0.3">
      <c r="A2729" t="s">
        <v>2757</v>
      </c>
      <c r="B2729" t="s">
        <v>22</v>
      </c>
      <c r="C2729">
        <v>1</v>
      </c>
      <c r="D2729">
        <v>1</v>
      </c>
      <c r="E2729">
        <v>92.78</v>
      </c>
      <c r="F2729">
        <v>3</v>
      </c>
      <c r="G2729">
        <v>100</v>
      </c>
    </row>
    <row r="2730" spans="1:7" ht="14" x14ac:dyDescent="0.3">
      <c r="A2730" t="s">
        <v>2758</v>
      </c>
      <c r="B2730" t="s">
        <v>8</v>
      </c>
      <c r="C2730">
        <v>1</v>
      </c>
      <c r="D2730">
        <v>1</v>
      </c>
      <c r="E2730">
        <v>91.16</v>
      </c>
      <c r="F2730">
        <v>3</v>
      </c>
      <c r="G2730">
        <v>100</v>
      </c>
    </row>
    <row r="2731" spans="1:7" ht="14" x14ac:dyDescent="0.3">
      <c r="A2731" t="s">
        <v>2759</v>
      </c>
      <c r="B2731" t="s">
        <v>8</v>
      </c>
      <c r="C2731">
        <v>1</v>
      </c>
      <c r="D2731">
        <v>3</v>
      </c>
      <c r="E2731">
        <v>90.66</v>
      </c>
      <c r="F2731">
        <v>5</v>
      </c>
      <c r="G2731">
        <v>100</v>
      </c>
    </row>
    <row r="2732" spans="1:7" ht="14" x14ac:dyDescent="0.3">
      <c r="A2732" t="s">
        <v>2760</v>
      </c>
      <c r="B2732" t="s">
        <v>8</v>
      </c>
      <c r="C2732">
        <v>2</v>
      </c>
      <c r="D2732">
        <v>2</v>
      </c>
      <c r="E2732">
        <v>90.08</v>
      </c>
      <c r="F2732">
        <v>4.5</v>
      </c>
      <c r="G2732">
        <v>100</v>
      </c>
    </row>
    <row r="2733" spans="1:7" ht="14" x14ac:dyDescent="0.3">
      <c r="A2733" t="s">
        <v>2761</v>
      </c>
      <c r="B2733" t="s">
        <v>87</v>
      </c>
      <c r="C2733">
        <v>1</v>
      </c>
      <c r="D2733">
        <v>1</v>
      </c>
      <c r="E2733">
        <v>90.04</v>
      </c>
      <c r="F2733">
        <v>4</v>
      </c>
      <c r="G2733">
        <v>100</v>
      </c>
    </row>
    <row r="2734" spans="1:7" ht="14" x14ac:dyDescent="0.3">
      <c r="A2734" t="s">
        <v>2762</v>
      </c>
      <c r="B2734" t="s">
        <v>32</v>
      </c>
      <c r="C2734">
        <v>1</v>
      </c>
      <c r="D2734">
        <v>1</v>
      </c>
      <c r="E2734">
        <v>89.46</v>
      </c>
      <c r="F2734">
        <v>5</v>
      </c>
      <c r="G2734">
        <v>100</v>
      </c>
    </row>
    <row r="2735" spans="1:7" ht="14" x14ac:dyDescent="0.3">
      <c r="A2735" t="s">
        <v>2763</v>
      </c>
      <c r="B2735" t="s">
        <v>8</v>
      </c>
      <c r="C2735">
        <v>1</v>
      </c>
      <c r="D2735">
        <v>1</v>
      </c>
      <c r="E2735">
        <v>88.92</v>
      </c>
      <c r="F2735">
        <v>4</v>
      </c>
      <c r="G2735">
        <v>100</v>
      </c>
    </row>
    <row r="2736" spans="1:7" ht="14" x14ac:dyDescent="0.3">
      <c r="A2736" t="s">
        <v>2764</v>
      </c>
      <c r="B2736" t="s">
        <v>8</v>
      </c>
      <c r="C2736">
        <v>1</v>
      </c>
      <c r="D2736">
        <v>1</v>
      </c>
      <c r="E2736">
        <v>88.81</v>
      </c>
      <c r="F2736">
        <v>5</v>
      </c>
      <c r="G2736">
        <v>100</v>
      </c>
    </row>
    <row r="2737" spans="1:7" ht="14" x14ac:dyDescent="0.3">
      <c r="A2737" t="s">
        <v>2765</v>
      </c>
      <c r="B2737" t="s">
        <v>8</v>
      </c>
      <c r="C2737">
        <v>3</v>
      </c>
      <c r="D2737">
        <v>3</v>
      </c>
      <c r="E2737">
        <v>88.74</v>
      </c>
      <c r="F2737">
        <v>4</v>
      </c>
      <c r="G2737">
        <v>100</v>
      </c>
    </row>
    <row r="2738" spans="1:7" ht="14" x14ac:dyDescent="0.3">
      <c r="A2738" t="s">
        <v>2766</v>
      </c>
      <c r="B2738" t="s">
        <v>8</v>
      </c>
      <c r="C2738">
        <v>2</v>
      </c>
      <c r="D2738">
        <v>2</v>
      </c>
      <c r="E2738">
        <v>88.68</v>
      </c>
      <c r="F2738">
        <v>5</v>
      </c>
      <c r="G2738">
        <v>50</v>
      </c>
    </row>
    <row r="2739" spans="1:7" ht="14" x14ac:dyDescent="0.3">
      <c r="A2739" t="s">
        <v>2767</v>
      </c>
      <c r="B2739" t="s">
        <v>548</v>
      </c>
      <c r="C2739">
        <v>2</v>
      </c>
      <c r="D2739">
        <v>2</v>
      </c>
      <c r="E2739">
        <v>88.56</v>
      </c>
      <c r="F2739">
        <v>5</v>
      </c>
      <c r="G2739">
        <v>100</v>
      </c>
    </row>
    <row r="2740" spans="1:7" ht="14" x14ac:dyDescent="0.3">
      <c r="A2740" t="s">
        <v>2768</v>
      </c>
      <c r="B2740" t="s">
        <v>24</v>
      </c>
      <c r="C2740">
        <v>1</v>
      </c>
      <c r="D2740">
        <v>1</v>
      </c>
      <c r="E2740">
        <v>88.13</v>
      </c>
      <c r="F2740">
        <v>5</v>
      </c>
      <c r="G2740">
        <v>100</v>
      </c>
    </row>
    <row r="2741" spans="1:7" ht="14" x14ac:dyDescent="0.3">
      <c r="A2741" t="s">
        <v>2769</v>
      </c>
      <c r="B2741" t="s">
        <v>42</v>
      </c>
      <c r="C2741">
        <v>2</v>
      </c>
      <c r="D2741">
        <v>2</v>
      </c>
      <c r="E2741">
        <v>87.7</v>
      </c>
      <c r="F2741">
        <v>4.5</v>
      </c>
      <c r="G2741">
        <v>100</v>
      </c>
    </row>
    <row r="2742" spans="1:7" ht="14" x14ac:dyDescent="0.3">
      <c r="A2742" t="s">
        <v>2770</v>
      </c>
      <c r="B2742" t="s">
        <v>32</v>
      </c>
      <c r="C2742">
        <v>1</v>
      </c>
      <c r="D2742">
        <v>1</v>
      </c>
      <c r="E2742">
        <v>87.37</v>
      </c>
      <c r="F2742">
        <v>5</v>
      </c>
      <c r="G2742">
        <v>100</v>
      </c>
    </row>
    <row r="2743" spans="1:7" ht="14" x14ac:dyDescent="0.3">
      <c r="A2743" t="s">
        <v>2771</v>
      </c>
      <c r="B2743" t="s">
        <v>8</v>
      </c>
      <c r="C2743">
        <v>1</v>
      </c>
      <c r="D2743">
        <v>1</v>
      </c>
      <c r="E2743">
        <v>87.29</v>
      </c>
      <c r="F2743">
        <v>3</v>
      </c>
      <c r="G2743">
        <v>100</v>
      </c>
    </row>
    <row r="2744" spans="1:7" ht="14" x14ac:dyDescent="0.3">
      <c r="A2744" t="s">
        <v>2772</v>
      </c>
      <c r="B2744" t="s">
        <v>22</v>
      </c>
      <c r="C2744">
        <v>1</v>
      </c>
      <c r="D2744">
        <v>1</v>
      </c>
      <c r="E2744">
        <v>86.74</v>
      </c>
      <c r="F2744">
        <v>1</v>
      </c>
      <c r="G2744">
        <v>100</v>
      </c>
    </row>
    <row r="2745" spans="1:7" ht="14" x14ac:dyDescent="0.3">
      <c r="A2745" t="s">
        <v>2773</v>
      </c>
      <c r="B2745" t="s">
        <v>24</v>
      </c>
      <c r="C2745">
        <v>1</v>
      </c>
      <c r="D2745">
        <v>1</v>
      </c>
      <c r="E2745">
        <v>86.67</v>
      </c>
      <c r="F2745">
        <v>5</v>
      </c>
      <c r="G2745">
        <v>100</v>
      </c>
    </row>
    <row r="2746" spans="1:7" ht="14" x14ac:dyDescent="0.3">
      <c r="A2746" t="s">
        <v>2774</v>
      </c>
      <c r="B2746" t="s">
        <v>418</v>
      </c>
      <c r="C2746">
        <v>1</v>
      </c>
      <c r="D2746">
        <v>1</v>
      </c>
      <c r="E2746">
        <v>86.43</v>
      </c>
      <c r="F2746">
        <v>1</v>
      </c>
      <c r="G2746">
        <v>0</v>
      </c>
    </row>
    <row r="2747" spans="1:7" ht="14" x14ac:dyDescent="0.3">
      <c r="A2747" t="s">
        <v>2775</v>
      </c>
      <c r="B2747" t="s">
        <v>8</v>
      </c>
      <c r="C2747">
        <v>2</v>
      </c>
      <c r="D2747">
        <v>2</v>
      </c>
      <c r="E2747">
        <v>86.26</v>
      </c>
      <c r="F2747">
        <v>4</v>
      </c>
      <c r="G2747">
        <v>100</v>
      </c>
    </row>
    <row r="2748" spans="1:7" ht="14" x14ac:dyDescent="0.3">
      <c r="A2748" t="s">
        <v>2776</v>
      </c>
      <c r="B2748" t="s">
        <v>8</v>
      </c>
      <c r="C2748">
        <v>1</v>
      </c>
      <c r="D2748">
        <v>1</v>
      </c>
      <c r="E2748">
        <v>86.15</v>
      </c>
      <c r="F2748">
        <v>5</v>
      </c>
      <c r="G2748">
        <v>100</v>
      </c>
    </row>
    <row r="2749" spans="1:7" ht="14" x14ac:dyDescent="0.3">
      <c r="A2749" s="1" t="s">
        <v>2777</v>
      </c>
      <c r="B2749" t="s">
        <v>87</v>
      </c>
      <c r="C2749">
        <v>1</v>
      </c>
      <c r="D2749">
        <v>1</v>
      </c>
      <c r="E2749">
        <v>85.49</v>
      </c>
      <c r="F2749">
        <v>5</v>
      </c>
      <c r="G2749">
        <v>100</v>
      </c>
    </row>
    <row r="2750" spans="1:7" ht="14" x14ac:dyDescent="0.3">
      <c r="A2750" t="s">
        <v>2778</v>
      </c>
      <c r="B2750" t="s">
        <v>8</v>
      </c>
      <c r="C2750">
        <v>1</v>
      </c>
      <c r="D2750">
        <v>1</v>
      </c>
      <c r="E2750">
        <v>85.27</v>
      </c>
      <c r="F2750">
        <v>5</v>
      </c>
      <c r="G2750">
        <v>100</v>
      </c>
    </row>
    <row r="2751" spans="1:7" ht="14" x14ac:dyDescent="0.3">
      <c r="A2751" t="s">
        <v>2779</v>
      </c>
      <c r="B2751" t="s">
        <v>8</v>
      </c>
      <c r="C2751">
        <v>1</v>
      </c>
      <c r="D2751">
        <v>1</v>
      </c>
      <c r="E2751">
        <v>84.78</v>
      </c>
      <c r="F2751">
        <v>5</v>
      </c>
      <c r="G2751">
        <v>100</v>
      </c>
    </row>
    <row r="2752" spans="1:7" ht="14" x14ac:dyDescent="0.3">
      <c r="A2752" t="s">
        <v>2780</v>
      </c>
      <c r="B2752" t="s">
        <v>8</v>
      </c>
      <c r="C2752">
        <v>1</v>
      </c>
      <c r="D2752">
        <v>2</v>
      </c>
      <c r="E2752">
        <v>84.68</v>
      </c>
      <c r="F2752">
        <v>5</v>
      </c>
      <c r="G2752">
        <v>100</v>
      </c>
    </row>
    <row r="2753" spans="1:7" ht="14" x14ac:dyDescent="0.3">
      <c r="A2753" t="s">
        <v>2781</v>
      </c>
      <c r="B2753" t="s">
        <v>8</v>
      </c>
      <c r="C2753">
        <v>1</v>
      </c>
      <c r="D2753">
        <v>2</v>
      </c>
      <c r="E2753">
        <v>84.26</v>
      </c>
      <c r="F2753">
        <v>5</v>
      </c>
      <c r="G2753">
        <v>100</v>
      </c>
    </row>
    <row r="2754" spans="1:7" ht="14" x14ac:dyDescent="0.3">
      <c r="A2754" t="s">
        <v>2782</v>
      </c>
      <c r="B2754" t="s">
        <v>8</v>
      </c>
      <c r="C2754">
        <v>1</v>
      </c>
      <c r="D2754">
        <v>1</v>
      </c>
      <c r="E2754">
        <v>84.24</v>
      </c>
      <c r="F2754">
        <v>3</v>
      </c>
      <c r="G2754">
        <v>100</v>
      </c>
    </row>
    <row r="2755" spans="1:7" ht="14" x14ac:dyDescent="0.3">
      <c r="A2755" t="s">
        <v>2783</v>
      </c>
      <c r="B2755" t="s">
        <v>8</v>
      </c>
      <c r="C2755">
        <v>2</v>
      </c>
      <c r="D2755">
        <v>2</v>
      </c>
      <c r="E2755">
        <v>84.2</v>
      </c>
      <c r="F2755">
        <v>3.5</v>
      </c>
      <c r="G2755">
        <v>100</v>
      </c>
    </row>
    <row r="2756" spans="1:7" ht="14" x14ac:dyDescent="0.3">
      <c r="A2756" t="s">
        <v>2784</v>
      </c>
      <c r="B2756" t="s">
        <v>8</v>
      </c>
      <c r="C2756">
        <v>3</v>
      </c>
      <c r="D2756">
        <v>3</v>
      </c>
      <c r="E2756">
        <v>84.01</v>
      </c>
      <c r="F2756">
        <v>5</v>
      </c>
      <c r="G2756">
        <v>100</v>
      </c>
    </row>
    <row r="2757" spans="1:7" ht="14" x14ac:dyDescent="0.3">
      <c r="A2757" t="s">
        <v>2785</v>
      </c>
      <c r="B2757" t="s">
        <v>8</v>
      </c>
      <c r="C2757">
        <v>2</v>
      </c>
      <c r="D2757">
        <v>3</v>
      </c>
      <c r="E2757">
        <v>83.97</v>
      </c>
      <c r="F2757">
        <v>4.33</v>
      </c>
      <c r="G2757">
        <v>100</v>
      </c>
    </row>
    <row r="2758" spans="1:7" ht="14" x14ac:dyDescent="0.3">
      <c r="A2758" t="s">
        <v>2786</v>
      </c>
      <c r="B2758" t="s">
        <v>8</v>
      </c>
      <c r="C2758">
        <v>2</v>
      </c>
      <c r="D2758">
        <v>2</v>
      </c>
      <c r="E2758">
        <v>83.52</v>
      </c>
      <c r="F2758">
        <v>3.5</v>
      </c>
      <c r="G2758">
        <v>100</v>
      </c>
    </row>
    <row r="2759" spans="1:7" ht="14" x14ac:dyDescent="0.3">
      <c r="A2759" t="s">
        <v>2787</v>
      </c>
      <c r="B2759" t="s">
        <v>32</v>
      </c>
      <c r="C2759">
        <v>1</v>
      </c>
      <c r="D2759">
        <v>1</v>
      </c>
      <c r="E2759">
        <v>83.26</v>
      </c>
      <c r="F2759">
        <v>5</v>
      </c>
      <c r="G2759">
        <v>100</v>
      </c>
    </row>
    <row r="2760" spans="1:7" ht="14" x14ac:dyDescent="0.3">
      <c r="A2760" t="s">
        <v>2788</v>
      </c>
      <c r="B2760" t="s">
        <v>87</v>
      </c>
      <c r="C2760">
        <v>1</v>
      </c>
      <c r="D2760">
        <v>1</v>
      </c>
      <c r="E2760">
        <v>83.01</v>
      </c>
      <c r="F2760">
        <v>5</v>
      </c>
      <c r="G2760">
        <v>100</v>
      </c>
    </row>
    <row r="2761" spans="1:7" ht="14" x14ac:dyDescent="0.3">
      <c r="A2761" s="1" t="s">
        <v>2789</v>
      </c>
      <c r="B2761" t="s">
        <v>8</v>
      </c>
      <c r="C2761">
        <v>1</v>
      </c>
      <c r="D2761">
        <v>1</v>
      </c>
      <c r="E2761">
        <v>82.22</v>
      </c>
      <c r="F2761">
        <v>5</v>
      </c>
      <c r="G2761">
        <v>100</v>
      </c>
    </row>
    <row r="2762" spans="1:7" ht="14" x14ac:dyDescent="0.3">
      <c r="A2762" t="s">
        <v>2790</v>
      </c>
      <c r="B2762" t="s">
        <v>22</v>
      </c>
      <c r="C2762">
        <v>1</v>
      </c>
      <c r="D2762">
        <v>1</v>
      </c>
      <c r="E2762">
        <v>82.03</v>
      </c>
      <c r="F2762">
        <v>5</v>
      </c>
      <c r="G2762">
        <v>100</v>
      </c>
    </row>
    <row r="2763" spans="1:7" ht="14" x14ac:dyDescent="0.3">
      <c r="A2763" t="s">
        <v>2791</v>
      </c>
      <c r="B2763" t="s">
        <v>8</v>
      </c>
      <c r="C2763">
        <v>1</v>
      </c>
      <c r="D2763">
        <v>1</v>
      </c>
      <c r="E2763">
        <v>81.599999999999994</v>
      </c>
      <c r="F2763">
        <v>1</v>
      </c>
      <c r="G2763">
        <v>0</v>
      </c>
    </row>
    <row r="2764" spans="1:7" ht="14" x14ac:dyDescent="0.3">
      <c r="A2764" t="s">
        <v>2792</v>
      </c>
      <c r="B2764" t="s">
        <v>42</v>
      </c>
      <c r="C2764">
        <v>1</v>
      </c>
      <c r="D2764">
        <v>1</v>
      </c>
      <c r="E2764">
        <v>81.34</v>
      </c>
      <c r="F2764">
        <v>5</v>
      </c>
      <c r="G2764">
        <v>100</v>
      </c>
    </row>
    <row r="2765" spans="1:7" ht="14" x14ac:dyDescent="0.3">
      <c r="A2765" t="s">
        <v>2793</v>
      </c>
      <c r="B2765" t="s">
        <v>22</v>
      </c>
      <c r="C2765">
        <v>2</v>
      </c>
      <c r="D2765">
        <v>2</v>
      </c>
      <c r="E2765">
        <v>80.75</v>
      </c>
      <c r="F2765">
        <v>3</v>
      </c>
      <c r="G2765">
        <v>50</v>
      </c>
    </row>
    <row r="2766" spans="1:7" ht="14" x14ac:dyDescent="0.3">
      <c r="A2766" t="s">
        <v>2794</v>
      </c>
      <c r="B2766" t="s">
        <v>8</v>
      </c>
      <c r="C2766">
        <v>2</v>
      </c>
      <c r="D2766">
        <v>2</v>
      </c>
      <c r="E2766">
        <v>80.13</v>
      </c>
      <c r="F2766">
        <v>4.5</v>
      </c>
      <c r="G2766">
        <v>100</v>
      </c>
    </row>
    <row r="2767" spans="1:7" ht="14" x14ac:dyDescent="0.3">
      <c r="A2767" t="s">
        <v>2795</v>
      </c>
      <c r="B2767" t="s">
        <v>8</v>
      </c>
      <c r="C2767">
        <v>1</v>
      </c>
      <c r="D2767">
        <v>1</v>
      </c>
      <c r="E2767">
        <v>79.94</v>
      </c>
      <c r="F2767">
        <v>5</v>
      </c>
      <c r="G2767">
        <v>100</v>
      </c>
    </row>
    <row r="2768" spans="1:7" ht="14" x14ac:dyDescent="0.3">
      <c r="A2768" t="s">
        <v>2796</v>
      </c>
      <c r="B2768" t="s">
        <v>8</v>
      </c>
      <c r="C2768">
        <v>2</v>
      </c>
      <c r="D2768">
        <v>2</v>
      </c>
      <c r="E2768">
        <v>79.849999999999994</v>
      </c>
      <c r="F2768">
        <v>3</v>
      </c>
      <c r="G2768">
        <v>100</v>
      </c>
    </row>
    <row r="2769" spans="1:7" ht="14" x14ac:dyDescent="0.3">
      <c r="A2769" t="s">
        <v>2797</v>
      </c>
      <c r="B2769" t="s">
        <v>8</v>
      </c>
      <c r="C2769">
        <v>2</v>
      </c>
      <c r="D2769">
        <v>2</v>
      </c>
      <c r="E2769">
        <v>79.73</v>
      </c>
      <c r="F2769">
        <v>4</v>
      </c>
      <c r="G2769">
        <v>100</v>
      </c>
    </row>
    <row r="2770" spans="1:7" ht="14" x14ac:dyDescent="0.3">
      <c r="A2770" t="s">
        <v>2798</v>
      </c>
      <c r="B2770" t="s">
        <v>8</v>
      </c>
      <c r="C2770">
        <v>1</v>
      </c>
      <c r="D2770">
        <v>1</v>
      </c>
      <c r="E2770">
        <v>79.56</v>
      </c>
      <c r="F2770">
        <v>3</v>
      </c>
      <c r="G2770">
        <v>0</v>
      </c>
    </row>
    <row r="2771" spans="1:7" ht="14" x14ac:dyDescent="0.3">
      <c r="A2771" t="s">
        <v>2799</v>
      </c>
      <c r="B2771" t="s">
        <v>8</v>
      </c>
      <c r="C2771">
        <v>1</v>
      </c>
      <c r="D2771">
        <v>1</v>
      </c>
      <c r="E2771">
        <v>79.44</v>
      </c>
      <c r="F2771">
        <v>3</v>
      </c>
      <c r="G2771">
        <v>100</v>
      </c>
    </row>
    <row r="2772" spans="1:7" ht="14" x14ac:dyDescent="0.3">
      <c r="A2772" t="s">
        <v>2800</v>
      </c>
      <c r="B2772" t="s">
        <v>32</v>
      </c>
      <c r="C2772">
        <v>1</v>
      </c>
      <c r="D2772">
        <v>1</v>
      </c>
      <c r="E2772">
        <v>79.08</v>
      </c>
      <c r="F2772">
        <v>3</v>
      </c>
      <c r="G2772">
        <v>100</v>
      </c>
    </row>
    <row r="2773" spans="1:7" ht="14" x14ac:dyDescent="0.3">
      <c r="A2773" t="s">
        <v>2801</v>
      </c>
      <c r="B2773" t="s">
        <v>8</v>
      </c>
      <c r="C2773">
        <v>3</v>
      </c>
      <c r="D2773">
        <v>3</v>
      </c>
      <c r="E2773">
        <v>78.7</v>
      </c>
      <c r="F2773">
        <v>4.33</v>
      </c>
      <c r="G2773">
        <v>100</v>
      </c>
    </row>
    <row r="2774" spans="1:7" ht="14" x14ac:dyDescent="0.3">
      <c r="A2774" t="s">
        <v>2802</v>
      </c>
      <c r="B2774" t="s">
        <v>24</v>
      </c>
      <c r="C2774">
        <v>1</v>
      </c>
      <c r="D2774">
        <v>1</v>
      </c>
      <c r="E2774">
        <v>78.319999999999993</v>
      </c>
      <c r="F2774">
        <v>5</v>
      </c>
      <c r="G2774">
        <v>100</v>
      </c>
    </row>
    <row r="2775" spans="1:7" ht="14" x14ac:dyDescent="0.3">
      <c r="A2775" s="1" t="s">
        <v>2803</v>
      </c>
      <c r="B2775" t="s">
        <v>8</v>
      </c>
      <c r="C2775">
        <v>1</v>
      </c>
      <c r="D2775">
        <v>1</v>
      </c>
      <c r="E2775">
        <v>78.12</v>
      </c>
      <c r="F2775">
        <v>3</v>
      </c>
      <c r="G2775">
        <v>100</v>
      </c>
    </row>
    <row r="2776" spans="1:7" ht="14" x14ac:dyDescent="0.3">
      <c r="A2776" t="s">
        <v>2804</v>
      </c>
      <c r="B2776" t="s">
        <v>8</v>
      </c>
      <c r="C2776">
        <v>2</v>
      </c>
      <c r="D2776">
        <v>2</v>
      </c>
      <c r="E2776">
        <v>78.040000000000006</v>
      </c>
      <c r="F2776">
        <v>4.5</v>
      </c>
      <c r="G2776">
        <v>100</v>
      </c>
    </row>
    <row r="2777" spans="1:7" ht="14" x14ac:dyDescent="0.3">
      <c r="A2777" t="s">
        <v>2805</v>
      </c>
      <c r="B2777" t="s">
        <v>32</v>
      </c>
      <c r="C2777">
        <v>1</v>
      </c>
      <c r="D2777">
        <v>1</v>
      </c>
      <c r="E2777">
        <v>78.010000000000005</v>
      </c>
      <c r="F2777">
        <v>5</v>
      </c>
      <c r="G2777">
        <v>100</v>
      </c>
    </row>
    <row r="2778" spans="1:7" ht="14" x14ac:dyDescent="0.3">
      <c r="A2778" t="s">
        <v>2806</v>
      </c>
      <c r="B2778" t="s">
        <v>8</v>
      </c>
      <c r="C2778">
        <v>1</v>
      </c>
      <c r="D2778">
        <v>1</v>
      </c>
      <c r="E2778">
        <v>77.75</v>
      </c>
      <c r="F2778">
        <v>3</v>
      </c>
      <c r="G2778">
        <v>100</v>
      </c>
    </row>
    <row r="2779" spans="1:7" ht="14" x14ac:dyDescent="0.3">
      <c r="A2779" t="s">
        <v>2807</v>
      </c>
      <c r="B2779" t="s">
        <v>8</v>
      </c>
      <c r="C2779">
        <v>1</v>
      </c>
      <c r="D2779">
        <v>2</v>
      </c>
      <c r="E2779">
        <v>77.64</v>
      </c>
      <c r="F2779">
        <v>3</v>
      </c>
      <c r="G2779">
        <v>0</v>
      </c>
    </row>
    <row r="2780" spans="1:7" ht="14" x14ac:dyDescent="0.3">
      <c r="A2780" t="s">
        <v>2808</v>
      </c>
      <c r="B2780" t="s">
        <v>32</v>
      </c>
      <c r="C2780">
        <v>1</v>
      </c>
      <c r="D2780">
        <v>1</v>
      </c>
      <c r="E2780">
        <v>77.38</v>
      </c>
      <c r="F2780">
        <v>4</v>
      </c>
      <c r="G2780">
        <v>100</v>
      </c>
    </row>
    <row r="2781" spans="1:7" ht="14" x14ac:dyDescent="0.3">
      <c r="A2781" t="s">
        <v>2809</v>
      </c>
      <c r="B2781" t="s">
        <v>8</v>
      </c>
      <c r="C2781">
        <v>1</v>
      </c>
      <c r="D2781">
        <v>1</v>
      </c>
      <c r="E2781">
        <v>76.64</v>
      </c>
      <c r="F2781">
        <v>5</v>
      </c>
      <c r="G2781">
        <v>100</v>
      </c>
    </row>
    <row r="2782" spans="1:7" ht="14" x14ac:dyDescent="0.3">
      <c r="A2782" t="s">
        <v>2810</v>
      </c>
      <c r="B2782" t="s">
        <v>42</v>
      </c>
      <c r="C2782">
        <v>1</v>
      </c>
      <c r="D2782">
        <v>1</v>
      </c>
      <c r="E2782">
        <v>76.5</v>
      </c>
      <c r="F2782">
        <v>1</v>
      </c>
      <c r="G2782">
        <v>100</v>
      </c>
    </row>
    <row r="2783" spans="1:7" ht="14" x14ac:dyDescent="0.3">
      <c r="A2783" t="s">
        <v>2811</v>
      </c>
      <c r="B2783" t="s">
        <v>8</v>
      </c>
      <c r="C2783">
        <v>2</v>
      </c>
      <c r="D2783">
        <v>2</v>
      </c>
      <c r="E2783">
        <v>76.22</v>
      </c>
      <c r="F2783">
        <v>4</v>
      </c>
      <c r="G2783">
        <v>100</v>
      </c>
    </row>
    <row r="2784" spans="1:7" ht="14" x14ac:dyDescent="0.3">
      <c r="A2784" t="s">
        <v>2812</v>
      </c>
      <c r="B2784" t="s">
        <v>8</v>
      </c>
      <c r="C2784">
        <v>1</v>
      </c>
      <c r="D2784">
        <v>1</v>
      </c>
      <c r="E2784">
        <v>76.08</v>
      </c>
      <c r="F2784">
        <v>5</v>
      </c>
      <c r="G2784">
        <v>100</v>
      </c>
    </row>
    <row r="2785" spans="1:7" ht="14" x14ac:dyDescent="0.3">
      <c r="A2785" t="s">
        <v>2813</v>
      </c>
      <c r="B2785" t="s">
        <v>8</v>
      </c>
      <c r="C2785">
        <v>2</v>
      </c>
      <c r="D2785">
        <v>2</v>
      </c>
      <c r="E2785">
        <v>75.099999999999994</v>
      </c>
      <c r="F2785">
        <v>5</v>
      </c>
      <c r="G2785">
        <v>100</v>
      </c>
    </row>
    <row r="2786" spans="1:7" ht="14" x14ac:dyDescent="0.3">
      <c r="A2786" t="s">
        <v>2814</v>
      </c>
      <c r="B2786" t="s">
        <v>8</v>
      </c>
      <c r="C2786">
        <v>2</v>
      </c>
      <c r="D2786">
        <v>2</v>
      </c>
      <c r="E2786">
        <v>74.86</v>
      </c>
      <c r="F2786">
        <v>4</v>
      </c>
      <c r="G2786">
        <v>100</v>
      </c>
    </row>
    <row r="2787" spans="1:7" ht="14" x14ac:dyDescent="0.3">
      <c r="A2787" t="s">
        <v>2815</v>
      </c>
      <c r="B2787" t="s">
        <v>8</v>
      </c>
      <c r="C2787">
        <v>1</v>
      </c>
      <c r="D2787">
        <v>1</v>
      </c>
      <c r="E2787">
        <v>74.510000000000005</v>
      </c>
      <c r="F2787">
        <v>5</v>
      </c>
      <c r="G2787">
        <v>100</v>
      </c>
    </row>
    <row r="2788" spans="1:7" ht="14" x14ac:dyDescent="0.3">
      <c r="A2788" t="s">
        <v>2816</v>
      </c>
      <c r="B2788" t="s">
        <v>22</v>
      </c>
      <c r="C2788">
        <v>1</v>
      </c>
      <c r="D2788">
        <v>1</v>
      </c>
      <c r="E2788">
        <v>73.89</v>
      </c>
      <c r="F2788">
        <v>4</v>
      </c>
      <c r="G2788">
        <v>100</v>
      </c>
    </row>
    <row r="2789" spans="1:7" ht="14" x14ac:dyDescent="0.3">
      <c r="A2789" t="s">
        <v>2817</v>
      </c>
      <c r="B2789" t="s">
        <v>8</v>
      </c>
      <c r="C2789">
        <v>2</v>
      </c>
      <c r="D2789">
        <v>3</v>
      </c>
      <c r="E2789">
        <v>73.37</v>
      </c>
      <c r="F2789">
        <v>2.33</v>
      </c>
      <c r="G2789">
        <v>100</v>
      </c>
    </row>
    <row r="2790" spans="1:7" ht="14" x14ac:dyDescent="0.3">
      <c r="A2790" t="s">
        <v>2818</v>
      </c>
      <c r="B2790" t="s">
        <v>8</v>
      </c>
      <c r="C2790">
        <v>3</v>
      </c>
      <c r="D2790">
        <v>3</v>
      </c>
      <c r="E2790">
        <v>73.319999999999993</v>
      </c>
      <c r="F2790">
        <v>4.33</v>
      </c>
      <c r="G2790">
        <v>100</v>
      </c>
    </row>
    <row r="2791" spans="1:7" ht="14" x14ac:dyDescent="0.3">
      <c r="A2791" t="s">
        <v>2819</v>
      </c>
      <c r="B2791" t="s">
        <v>42</v>
      </c>
      <c r="C2791">
        <v>1</v>
      </c>
      <c r="D2791">
        <v>1</v>
      </c>
      <c r="E2791">
        <v>73.209999999999994</v>
      </c>
      <c r="F2791">
        <v>4</v>
      </c>
      <c r="G2791">
        <v>100</v>
      </c>
    </row>
    <row r="2792" spans="1:7" ht="14" x14ac:dyDescent="0.3">
      <c r="A2792" t="s">
        <v>2820</v>
      </c>
      <c r="B2792" t="s">
        <v>24</v>
      </c>
      <c r="C2792">
        <v>1</v>
      </c>
      <c r="D2792">
        <v>1</v>
      </c>
      <c r="E2792">
        <v>72.959999999999994</v>
      </c>
      <c r="F2792">
        <v>3</v>
      </c>
      <c r="G2792">
        <v>100</v>
      </c>
    </row>
    <row r="2793" spans="1:7" ht="14" x14ac:dyDescent="0.3">
      <c r="A2793" t="s">
        <v>2821</v>
      </c>
      <c r="B2793" t="s">
        <v>8</v>
      </c>
      <c r="C2793">
        <v>1</v>
      </c>
      <c r="D2793">
        <v>1</v>
      </c>
      <c r="E2793">
        <v>72.739999999999995</v>
      </c>
      <c r="F2793">
        <v>5</v>
      </c>
      <c r="G2793">
        <v>100</v>
      </c>
    </row>
    <row r="2794" spans="1:7" ht="14" x14ac:dyDescent="0.3">
      <c r="A2794" t="s">
        <v>2822</v>
      </c>
      <c r="B2794" t="s">
        <v>418</v>
      </c>
      <c r="C2794">
        <v>1</v>
      </c>
      <c r="D2794">
        <v>1</v>
      </c>
      <c r="E2794">
        <v>72.52</v>
      </c>
      <c r="F2794">
        <v>5</v>
      </c>
      <c r="G2794">
        <v>100</v>
      </c>
    </row>
    <row r="2795" spans="1:7" ht="14" x14ac:dyDescent="0.3">
      <c r="A2795" t="s">
        <v>2823</v>
      </c>
      <c r="B2795" t="s">
        <v>32</v>
      </c>
      <c r="C2795">
        <v>1</v>
      </c>
      <c r="D2795">
        <v>1</v>
      </c>
      <c r="E2795">
        <v>72.180000000000007</v>
      </c>
      <c r="F2795">
        <v>5</v>
      </c>
      <c r="G2795">
        <v>100</v>
      </c>
    </row>
    <row r="2796" spans="1:7" ht="14" x14ac:dyDescent="0.3">
      <c r="A2796" t="s">
        <v>2824</v>
      </c>
      <c r="B2796" t="s">
        <v>24</v>
      </c>
      <c r="C2796">
        <v>1</v>
      </c>
      <c r="D2796">
        <v>1</v>
      </c>
      <c r="E2796">
        <v>71.72</v>
      </c>
      <c r="F2796">
        <v>5</v>
      </c>
      <c r="G2796">
        <v>100</v>
      </c>
    </row>
    <row r="2797" spans="1:7" ht="14" x14ac:dyDescent="0.3">
      <c r="A2797" t="s">
        <v>2825</v>
      </c>
      <c r="B2797" t="s">
        <v>42</v>
      </c>
      <c r="C2797">
        <v>1</v>
      </c>
      <c r="D2797">
        <v>1</v>
      </c>
      <c r="E2797">
        <v>71.66</v>
      </c>
      <c r="F2797">
        <v>5</v>
      </c>
      <c r="G2797">
        <v>100</v>
      </c>
    </row>
    <row r="2798" spans="1:7" ht="14" x14ac:dyDescent="0.3">
      <c r="A2798" t="s">
        <v>2826</v>
      </c>
      <c r="B2798" t="s">
        <v>32</v>
      </c>
      <c r="C2798">
        <v>1</v>
      </c>
      <c r="D2798">
        <v>1</v>
      </c>
      <c r="E2798">
        <v>71.45</v>
      </c>
      <c r="F2798">
        <v>5</v>
      </c>
      <c r="G2798">
        <v>100</v>
      </c>
    </row>
    <row r="2799" spans="1:7" ht="14" x14ac:dyDescent="0.3">
      <c r="A2799" t="s">
        <v>2827</v>
      </c>
      <c r="B2799" t="s">
        <v>8</v>
      </c>
      <c r="C2799">
        <v>2</v>
      </c>
      <c r="D2799">
        <v>2</v>
      </c>
      <c r="E2799">
        <v>71.180000000000007</v>
      </c>
      <c r="F2799">
        <v>3.5</v>
      </c>
      <c r="G2799">
        <v>100</v>
      </c>
    </row>
    <row r="2800" spans="1:7" ht="14" x14ac:dyDescent="0.3">
      <c r="A2800" t="s">
        <v>2828</v>
      </c>
      <c r="B2800" t="s">
        <v>8</v>
      </c>
      <c r="C2800">
        <v>1</v>
      </c>
      <c r="D2800">
        <v>1</v>
      </c>
      <c r="E2800">
        <v>70.930000000000007</v>
      </c>
      <c r="F2800">
        <v>5</v>
      </c>
      <c r="G2800">
        <v>100</v>
      </c>
    </row>
    <row r="2801" spans="1:7" ht="14" x14ac:dyDescent="0.3">
      <c r="A2801" t="s">
        <v>2829</v>
      </c>
      <c r="B2801" t="s">
        <v>8</v>
      </c>
      <c r="C2801">
        <v>1</v>
      </c>
      <c r="D2801">
        <v>1</v>
      </c>
      <c r="E2801">
        <v>70.650000000000006</v>
      </c>
      <c r="F2801">
        <v>5</v>
      </c>
      <c r="G2801">
        <v>100</v>
      </c>
    </row>
    <row r="2802" spans="1:7" ht="14" x14ac:dyDescent="0.3">
      <c r="A2802" s="1" t="s">
        <v>2830</v>
      </c>
      <c r="B2802" t="s">
        <v>8</v>
      </c>
      <c r="C2802">
        <v>1</v>
      </c>
      <c r="D2802">
        <v>2</v>
      </c>
      <c r="E2802">
        <v>70.02</v>
      </c>
      <c r="F2802">
        <v>5</v>
      </c>
      <c r="G2802">
        <v>100</v>
      </c>
    </row>
    <row r="2803" spans="1:7" ht="14" x14ac:dyDescent="0.3">
      <c r="A2803" t="s">
        <v>2831</v>
      </c>
      <c r="B2803" t="s">
        <v>8</v>
      </c>
      <c r="C2803">
        <v>1</v>
      </c>
      <c r="D2803">
        <v>1</v>
      </c>
      <c r="E2803">
        <v>69.67</v>
      </c>
      <c r="F2803">
        <v>5</v>
      </c>
      <c r="G2803">
        <v>100</v>
      </c>
    </row>
    <row r="2804" spans="1:7" ht="14" x14ac:dyDescent="0.3">
      <c r="A2804" t="s">
        <v>2832</v>
      </c>
      <c r="B2804" t="s">
        <v>8</v>
      </c>
      <c r="C2804">
        <v>2</v>
      </c>
      <c r="D2804">
        <v>2</v>
      </c>
      <c r="E2804">
        <v>69.28</v>
      </c>
      <c r="F2804">
        <v>5</v>
      </c>
      <c r="G2804">
        <v>100</v>
      </c>
    </row>
    <row r="2805" spans="1:7" ht="14" x14ac:dyDescent="0.3">
      <c r="A2805" t="s">
        <v>2833</v>
      </c>
      <c r="B2805" t="s">
        <v>8</v>
      </c>
      <c r="C2805">
        <v>1</v>
      </c>
      <c r="D2805">
        <v>1</v>
      </c>
      <c r="E2805">
        <v>69.010000000000005</v>
      </c>
      <c r="F2805">
        <v>5</v>
      </c>
      <c r="G2805">
        <v>100</v>
      </c>
    </row>
    <row r="2806" spans="1:7" ht="14" x14ac:dyDescent="0.3">
      <c r="A2806" t="s">
        <v>2834</v>
      </c>
      <c r="B2806" t="s">
        <v>8</v>
      </c>
      <c r="C2806">
        <v>2</v>
      </c>
      <c r="D2806">
        <v>2</v>
      </c>
      <c r="E2806">
        <v>68.69</v>
      </c>
      <c r="F2806">
        <v>2.5</v>
      </c>
      <c r="G2806">
        <v>100</v>
      </c>
    </row>
    <row r="2807" spans="1:7" ht="14" x14ac:dyDescent="0.3">
      <c r="A2807" t="s">
        <v>2835</v>
      </c>
      <c r="B2807" t="s">
        <v>8</v>
      </c>
      <c r="C2807">
        <v>1</v>
      </c>
      <c r="D2807">
        <v>1</v>
      </c>
      <c r="E2807">
        <v>68.55</v>
      </c>
      <c r="F2807">
        <v>5</v>
      </c>
      <c r="G2807">
        <v>100</v>
      </c>
    </row>
    <row r="2808" spans="1:7" ht="14" x14ac:dyDescent="0.3">
      <c r="A2808" t="s">
        <v>2836</v>
      </c>
      <c r="B2808" t="s">
        <v>24</v>
      </c>
      <c r="C2808">
        <v>1</v>
      </c>
      <c r="D2808">
        <v>1</v>
      </c>
      <c r="E2808">
        <v>68.349999999999994</v>
      </c>
      <c r="F2808">
        <v>3</v>
      </c>
      <c r="G2808">
        <v>100</v>
      </c>
    </row>
    <row r="2809" spans="1:7" ht="14" x14ac:dyDescent="0.3">
      <c r="A2809" t="s">
        <v>2837</v>
      </c>
      <c r="B2809" t="s">
        <v>87</v>
      </c>
      <c r="C2809">
        <v>1</v>
      </c>
      <c r="D2809">
        <v>1</v>
      </c>
      <c r="E2809">
        <v>68.349999999999994</v>
      </c>
      <c r="F2809">
        <v>3</v>
      </c>
      <c r="G2809">
        <v>100</v>
      </c>
    </row>
    <row r="2810" spans="1:7" ht="14" x14ac:dyDescent="0.3">
      <c r="A2810" t="s">
        <v>2838</v>
      </c>
      <c r="B2810" t="s">
        <v>22</v>
      </c>
      <c r="C2810">
        <v>1</v>
      </c>
      <c r="D2810">
        <v>1</v>
      </c>
      <c r="E2810">
        <v>68.319999999999993</v>
      </c>
      <c r="F2810">
        <v>5</v>
      </c>
      <c r="G2810">
        <v>100</v>
      </c>
    </row>
    <row r="2811" spans="1:7" ht="14" x14ac:dyDescent="0.3">
      <c r="A2811" t="s">
        <v>2839</v>
      </c>
      <c r="B2811" t="s">
        <v>8</v>
      </c>
      <c r="C2811">
        <v>1</v>
      </c>
      <c r="D2811">
        <v>1</v>
      </c>
      <c r="E2811">
        <v>67.010000000000005</v>
      </c>
      <c r="F2811">
        <v>5</v>
      </c>
      <c r="G2811">
        <v>100</v>
      </c>
    </row>
    <row r="2812" spans="1:7" ht="14" x14ac:dyDescent="0.3">
      <c r="A2812" t="s">
        <v>2840</v>
      </c>
      <c r="B2812" t="s">
        <v>8</v>
      </c>
      <c r="C2812">
        <v>1</v>
      </c>
      <c r="D2812">
        <v>1</v>
      </c>
      <c r="E2812">
        <v>66.89</v>
      </c>
      <c r="F2812">
        <v>3</v>
      </c>
      <c r="G2812">
        <v>0</v>
      </c>
    </row>
    <row r="2813" spans="1:7" ht="14" x14ac:dyDescent="0.3">
      <c r="A2813" t="s">
        <v>2841</v>
      </c>
      <c r="B2813" t="s">
        <v>8</v>
      </c>
      <c r="C2813">
        <v>1</v>
      </c>
      <c r="D2813">
        <v>1</v>
      </c>
      <c r="E2813">
        <v>66.69</v>
      </c>
      <c r="F2813">
        <v>1</v>
      </c>
      <c r="G2813">
        <v>0</v>
      </c>
    </row>
    <row r="2814" spans="1:7" ht="14" x14ac:dyDescent="0.3">
      <c r="A2814" t="s">
        <v>2842</v>
      </c>
      <c r="B2814" t="s">
        <v>12</v>
      </c>
      <c r="C2814">
        <v>1</v>
      </c>
      <c r="D2814">
        <v>1</v>
      </c>
      <c r="E2814">
        <v>66.28</v>
      </c>
      <c r="F2814">
        <v>5</v>
      </c>
      <c r="G2814">
        <v>100</v>
      </c>
    </row>
    <row r="2815" spans="1:7" ht="14" x14ac:dyDescent="0.3">
      <c r="A2815" t="s">
        <v>2843</v>
      </c>
      <c r="B2815" t="s">
        <v>32</v>
      </c>
      <c r="C2815">
        <v>1</v>
      </c>
      <c r="D2815">
        <v>1</v>
      </c>
      <c r="E2815">
        <v>65.930000000000007</v>
      </c>
      <c r="F2815">
        <v>2</v>
      </c>
      <c r="G2815">
        <v>100</v>
      </c>
    </row>
    <row r="2816" spans="1:7" ht="14" x14ac:dyDescent="0.3">
      <c r="A2816" t="s">
        <v>2844</v>
      </c>
      <c r="B2816" t="s">
        <v>32</v>
      </c>
      <c r="C2816">
        <v>1</v>
      </c>
      <c r="D2816">
        <v>1</v>
      </c>
      <c r="E2816">
        <v>65.81</v>
      </c>
      <c r="F2816">
        <v>5</v>
      </c>
      <c r="G2816">
        <v>100</v>
      </c>
    </row>
    <row r="2817" spans="1:7" ht="14" x14ac:dyDescent="0.3">
      <c r="A2817" t="s">
        <v>2845</v>
      </c>
      <c r="B2817" t="s">
        <v>8</v>
      </c>
      <c r="C2817">
        <v>1</v>
      </c>
      <c r="D2817">
        <v>1</v>
      </c>
      <c r="E2817">
        <v>65.39</v>
      </c>
      <c r="F2817">
        <v>5</v>
      </c>
      <c r="G2817">
        <v>100</v>
      </c>
    </row>
    <row r="2818" spans="1:7" ht="14" x14ac:dyDescent="0.3">
      <c r="A2818" t="s">
        <v>2846</v>
      </c>
      <c r="B2818" t="s">
        <v>32</v>
      </c>
      <c r="C2818">
        <v>1</v>
      </c>
      <c r="D2818">
        <v>1</v>
      </c>
      <c r="E2818">
        <v>64.42</v>
      </c>
      <c r="F2818">
        <v>5</v>
      </c>
      <c r="G2818">
        <v>100</v>
      </c>
    </row>
    <row r="2819" spans="1:7" ht="14" x14ac:dyDescent="0.3">
      <c r="A2819" t="s">
        <v>2847</v>
      </c>
      <c r="B2819" t="s">
        <v>8</v>
      </c>
      <c r="C2819">
        <v>2</v>
      </c>
      <c r="D2819">
        <v>2</v>
      </c>
      <c r="E2819">
        <v>64.12</v>
      </c>
      <c r="F2819">
        <v>4.5</v>
      </c>
      <c r="G2819">
        <v>100</v>
      </c>
    </row>
    <row r="2820" spans="1:7" ht="14" x14ac:dyDescent="0.3">
      <c r="A2820" t="s">
        <v>2848</v>
      </c>
      <c r="B2820" t="s">
        <v>309</v>
      </c>
      <c r="C2820">
        <v>1</v>
      </c>
      <c r="D2820">
        <v>1</v>
      </c>
      <c r="E2820">
        <v>64.11</v>
      </c>
      <c r="F2820">
        <v>1</v>
      </c>
      <c r="G2820">
        <v>0</v>
      </c>
    </row>
    <row r="2821" spans="1:7" ht="14" x14ac:dyDescent="0.3">
      <c r="A2821" t="s">
        <v>2849</v>
      </c>
      <c r="B2821" t="s">
        <v>42</v>
      </c>
      <c r="C2821">
        <v>1</v>
      </c>
      <c r="D2821">
        <v>1</v>
      </c>
      <c r="E2821">
        <v>64.099999999999994</v>
      </c>
      <c r="F2821">
        <v>5</v>
      </c>
      <c r="G2821">
        <v>100</v>
      </c>
    </row>
    <row r="2822" spans="1:7" ht="14" x14ac:dyDescent="0.3">
      <c r="A2822" t="s">
        <v>2850</v>
      </c>
      <c r="B2822" t="s">
        <v>24</v>
      </c>
      <c r="C2822">
        <v>2</v>
      </c>
      <c r="D2822">
        <v>2</v>
      </c>
      <c r="E2822">
        <v>63.92</v>
      </c>
      <c r="F2822">
        <v>3</v>
      </c>
      <c r="G2822">
        <v>100</v>
      </c>
    </row>
    <row r="2823" spans="1:7" ht="14" x14ac:dyDescent="0.3">
      <c r="A2823" t="s">
        <v>2851</v>
      </c>
      <c r="B2823" t="s">
        <v>8</v>
      </c>
      <c r="C2823">
        <v>2</v>
      </c>
      <c r="D2823">
        <v>2</v>
      </c>
      <c r="E2823">
        <v>63.58</v>
      </c>
      <c r="F2823">
        <v>5</v>
      </c>
      <c r="G2823">
        <v>100</v>
      </c>
    </row>
    <row r="2824" spans="1:7" ht="14" x14ac:dyDescent="0.3">
      <c r="A2824" t="s">
        <v>2852</v>
      </c>
      <c r="B2824" t="s">
        <v>8</v>
      </c>
      <c r="C2824">
        <v>1</v>
      </c>
      <c r="D2824">
        <v>1</v>
      </c>
      <c r="E2824">
        <v>63.52</v>
      </c>
      <c r="F2824">
        <v>3</v>
      </c>
      <c r="G2824">
        <v>100</v>
      </c>
    </row>
    <row r="2825" spans="1:7" ht="14" x14ac:dyDescent="0.3">
      <c r="A2825" s="1" t="s">
        <v>2853</v>
      </c>
      <c r="B2825" t="s">
        <v>24</v>
      </c>
      <c r="C2825">
        <v>1</v>
      </c>
      <c r="D2825">
        <v>1</v>
      </c>
      <c r="E2825">
        <v>63.4</v>
      </c>
      <c r="F2825">
        <v>5</v>
      </c>
      <c r="G2825">
        <v>100</v>
      </c>
    </row>
    <row r="2826" spans="1:7" ht="14" x14ac:dyDescent="0.3">
      <c r="A2826" t="s">
        <v>2854</v>
      </c>
      <c r="B2826" t="s">
        <v>8</v>
      </c>
      <c r="C2826">
        <v>1</v>
      </c>
      <c r="D2826">
        <v>1</v>
      </c>
      <c r="E2826">
        <v>63.29</v>
      </c>
      <c r="F2826">
        <v>5</v>
      </c>
      <c r="G2826">
        <v>100</v>
      </c>
    </row>
    <row r="2827" spans="1:7" ht="14" x14ac:dyDescent="0.3">
      <c r="A2827" t="s">
        <v>2855</v>
      </c>
      <c r="B2827" t="s">
        <v>38</v>
      </c>
      <c r="C2827">
        <v>1</v>
      </c>
      <c r="D2827">
        <v>1</v>
      </c>
      <c r="E2827">
        <v>63.08</v>
      </c>
      <c r="F2827">
        <v>5</v>
      </c>
      <c r="G2827">
        <v>100</v>
      </c>
    </row>
    <row r="2828" spans="1:7" ht="14" x14ac:dyDescent="0.3">
      <c r="A2828" t="s">
        <v>2856</v>
      </c>
      <c r="B2828" t="s">
        <v>8</v>
      </c>
      <c r="C2828">
        <v>2</v>
      </c>
      <c r="D2828">
        <v>4</v>
      </c>
      <c r="E2828">
        <v>63.05</v>
      </c>
      <c r="F2828">
        <v>5</v>
      </c>
      <c r="G2828">
        <v>100</v>
      </c>
    </row>
    <row r="2829" spans="1:7" ht="14" x14ac:dyDescent="0.3">
      <c r="A2829" t="s">
        <v>2857</v>
      </c>
      <c r="B2829" t="s">
        <v>8</v>
      </c>
      <c r="C2829">
        <v>1</v>
      </c>
      <c r="D2829">
        <v>1</v>
      </c>
      <c r="E2829">
        <v>62.97</v>
      </c>
      <c r="F2829">
        <v>3</v>
      </c>
      <c r="G2829">
        <v>100</v>
      </c>
    </row>
    <row r="2830" spans="1:7" ht="14" x14ac:dyDescent="0.3">
      <c r="A2830" t="s">
        <v>2858</v>
      </c>
      <c r="B2830" t="s">
        <v>8</v>
      </c>
      <c r="C2830">
        <v>1</v>
      </c>
      <c r="D2830">
        <v>1</v>
      </c>
      <c r="E2830">
        <v>62.87</v>
      </c>
      <c r="F2830">
        <v>5</v>
      </c>
      <c r="G2830">
        <v>100</v>
      </c>
    </row>
    <row r="2831" spans="1:7" ht="14" x14ac:dyDescent="0.3">
      <c r="A2831" t="s">
        <v>2859</v>
      </c>
      <c r="B2831" t="s">
        <v>8</v>
      </c>
      <c r="C2831">
        <v>2</v>
      </c>
      <c r="D2831">
        <v>2</v>
      </c>
      <c r="E2831">
        <v>62.66</v>
      </c>
      <c r="F2831">
        <v>4.5</v>
      </c>
      <c r="G2831">
        <v>100</v>
      </c>
    </row>
    <row r="2832" spans="1:7" ht="14" x14ac:dyDescent="0.3">
      <c r="A2832" t="s">
        <v>2860</v>
      </c>
      <c r="B2832" t="s">
        <v>24</v>
      </c>
      <c r="C2832">
        <v>1</v>
      </c>
      <c r="D2832">
        <v>1</v>
      </c>
      <c r="E2832">
        <v>62.38</v>
      </c>
      <c r="F2832">
        <v>5</v>
      </c>
      <c r="G2832">
        <v>100</v>
      </c>
    </row>
    <row r="2833" spans="1:7" ht="14" x14ac:dyDescent="0.3">
      <c r="A2833" t="s">
        <v>2861</v>
      </c>
      <c r="B2833" t="s">
        <v>418</v>
      </c>
      <c r="C2833">
        <v>1</v>
      </c>
      <c r="D2833">
        <v>1</v>
      </c>
      <c r="E2833">
        <v>62.11</v>
      </c>
      <c r="F2833">
        <v>2</v>
      </c>
      <c r="G2833">
        <v>100</v>
      </c>
    </row>
    <row r="2834" spans="1:7" ht="14" x14ac:dyDescent="0.3">
      <c r="A2834" t="s">
        <v>2862</v>
      </c>
      <c r="B2834" t="s">
        <v>8</v>
      </c>
      <c r="C2834">
        <v>1</v>
      </c>
      <c r="D2834">
        <v>1</v>
      </c>
      <c r="E2834">
        <v>61.94</v>
      </c>
      <c r="F2834">
        <v>4</v>
      </c>
      <c r="G2834">
        <v>100</v>
      </c>
    </row>
    <row r="2835" spans="1:7" ht="14" x14ac:dyDescent="0.3">
      <c r="A2835" t="s">
        <v>2863</v>
      </c>
      <c r="B2835" t="s">
        <v>8</v>
      </c>
      <c r="C2835">
        <v>1</v>
      </c>
      <c r="D2835">
        <v>1</v>
      </c>
      <c r="E2835">
        <v>61.74</v>
      </c>
      <c r="F2835">
        <v>1</v>
      </c>
      <c r="G2835">
        <v>100</v>
      </c>
    </row>
    <row r="2836" spans="1:7" ht="14" x14ac:dyDescent="0.3">
      <c r="A2836" t="s">
        <v>2864</v>
      </c>
      <c r="B2836" t="s">
        <v>87</v>
      </c>
      <c r="C2836">
        <v>1</v>
      </c>
      <c r="D2836">
        <v>1</v>
      </c>
      <c r="E2836">
        <v>61.38</v>
      </c>
      <c r="F2836">
        <v>5</v>
      </c>
      <c r="G2836">
        <v>100</v>
      </c>
    </row>
    <row r="2837" spans="1:7" ht="14" x14ac:dyDescent="0.3">
      <c r="A2837" t="s">
        <v>2865</v>
      </c>
      <c r="B2837" t="s">
        <v>8</v>
      </c>
      <c r="C2837">
        <v>1</v>
      </c>
      <c r="D2837">
        <v>1</v>
      </c>
      <c r="E2837">
        <v>61.3</v>
      </c>
      <c r="F2837">
        <v>5</v>
      </c>
      <c r="G2837">
        <v>100</v>
      </c>
    </row>
    <row r="2838" spans="1:7" ht="14" x14ac:dyDescent="0.3">
      <c r="A2838" t="s">
        <v>2866</v>
      </c>
      <c r="B2838" t="s">
        <v>8</v>
      </c>
      <c r="C2838">
        <v>1</v>
      </c>
      <c r="D2838">
        <v>1</v>
      </c>
      <c r="E2838">
        <v>61.16</v>
      </c>
      <c r="F2838">
        <v>5</v>
      </c>
      <c r="G2838">
        <v>100</v>
      </c>
    </row>
    <row r="2839" spans="1:7" ht="14" x14ac:dyDescent="0.3">
      <c r="A2839" t="s">
        <v>2867</v>
      </c>
      <c r="B2839" t="s">
        <v>8</v>
      </c>
      <c r="C2839">
        <v>1</v>
      </c>
      <c r="D2839">
        <v>1</v>
      </c>
      <c r="E2839">
        <v>61.08</v>
      </c>
      <c r="F2839">
        <v>5</v>
      </c>
      <c r="G2839">
        <v>100</v>
      </c>
    </row>
    <row r="2840" spans="1:7" ht="14" x14ac:dyDescent="0.3">
      <c r="A2840" s="1" t="s">
        <v>2868</v>
      </c>
      <c r="B2840" t="s">
        <v>32</v>
      </c>
      <c r="C2840">
        <v>1</v>
      </c>
      <c r="D2840">
        <v>1</v>
      </c>
      <c r="E2840">
        <v>60.4</v>
      </c>
      <c r="F2840">
        <v>3</v>
      </c>
      <c r="G2840">
        <v>100</v>
      </c>
    </row>
    <row r="2841" spans="1:7" ht="14" x14ac:dyDescent="0.3">
      <c r="A2841" t="s">
        <v>2869</v>
      </c>
      <c r="B2841" t="s">
        <v>8</v>
      </c>
      <c r="C2841">
        <v>1</v>
      </c>
      <c r="D2841">
        <v>1</v>
      </c>
      <c r="E2841">
        <v>60.19</v>
      </c>
      <c r="F2841">
        <v>5</v>
      </c>
      <c r="G2841">
        <v>100</v>
      </c>
    </row>
    <row r="2842" spans="1:7" ht="14" x14ac:dyDescent="0.3">
      <c r="A2842" t="s">
        <v>2870</v>
      </c>
      <c r="B2842" t="s">
        <v>8</v>
      </c>
      <c r="C2842">
        <v>1</v>
      </c>
      <c r="D2842">
        <v>1</v>
      </c>
      <c r="E2842">
        <v>59.81</v>
      </c>
      <c r="F2842">
        <v>5</v>
      </c>
      <c r="G2842">
        <v>100</v>
      </c>
    </row>
    <row r="2843" spans="1:7" ht="14" x14ac:dyDescent="0.3">
      <c r="A2843" t="s">
        <v>2871</v>
      </c>
      <c r="B2843" t="s">
        <v>8</v>
      </c>
      <c r="C2843">
        <v>1</v>
      </c>
      <c r="D2843">
        <v>1</v>
      </c>
      <c r="E2843">
        <v>59.39</v>
      </c>
      <c r="F2843">
        <v>5</v>
      </c>
      <c r="G2843">
        <v>100</v>
      </c>
    </row>
    <row r="2844" spans="1:7" ht="14" x14ac:dyDescent="0.3">
      <c r="A2844" t="s">
        <v>2872</v>
      </c>
      <c r="B2844" t="s">
        <v>8</v>
      </c>
      <c r="C2844">
        <v>1</v>
      </c>
      <c r="D2844">
        <v>1</v>
      </c>
      <c r="E2844">
        <v>58.28</v>
      </c>
      <c r="F2844">
        <v>5</v>
      </c>
      <c r="G2844">
        <v>100</v>
      </c>
    </row>
    <row r="2845" spans="1:7" ht="14" x14ac:dyDescent="0.3">
      <c r="A2845" t="s">
        <v>2873</v>
      </c>
      <c r="B2845" t="s">
        <v>32</v>
      </c>
      <c r="C2845">
        <v>2</v>
      </c>
      <c r="D2845">
        <v>2</v>
      </c>
      <c r="E2845">
        <v>58.14</v>
      </c>
      <c r="F2845">
        <v>5</v>
      </c>
      <c r="G2845">
        <v>100</v>
      </c>
    </row>
    <row r="2846" spans="1:7" ht="14" x14ac:dyDescent="0.3">
      <c r="A2846" t="s">
        <v>2874</v>
      </c>
      <c r="B2846" t="s">
        <v>22</v>
      </c>
      <c r="C2846">
        <v>1</v>
      </c>
      <c r="D2846">
        <v>1</v>
      </c>
      <c r="E2846">
        <v>57.77</v>
      </c>
      <c r="F2846">
        <v>4</v>
      </c>
      <c r="G2846">
        <v>100</v>
      </c>
    </row>
    <row r="2847" spans="1:7" ht="14" x14ac:dyDescent="0.3">
      <c r="A2847" t="s">
        <v>2875</v>
      </c>
      <c r="B2847" t="s">
        <v>8</v>
      </c>
      <c r="C2847">
        <v>1</v>
      </c>
      <c r="D2847">
        <v>1</v>
      </c>
      <c r="E2847">
        <v>57.69</v>
      </c>
      <c r="F2847">
        <v>5</v>
      </c>
      <c r="G2847">
        <v>100</v>
      </c>
    </row>
    <row r="2848" spans="1:7" ht="14" x14ac:dyDescent="0.3">
      <c r="A2848" t="s">
        <v>2876</v>
      </c>
      <c r="B2848" t="s">
        <v>24</v>
      </c>
      <c r="C2848">
        <v>1</v>
      </c>
      <c r="D2848">
        <v>1</v>
      </c>
      <c r="E2848">
        <v>57.51</v>
      </c>
      <c r="F2848">
        <v>5</v>
      </c>
      <c r="G2848">
        <v>100</v>
      </c>
    </row>
    <row r="2849" spans="1:7" ht="14" x14ac:dyDescent="0.3">
      <c r="A2849" t="s">
        <v>2877</v>
      </c>
      <c r="B2849" t="s">
        <v>8</v>
      </c>
      <c r="C2849">
        <v>1</v>
      </c>
      <c r="D2849">
        <v>1</v>
      </c>
      <c r="E2849">
        <v>57.47</v>
      </c>
      <c r="F2849">
        <v>5</v>
      </c>
      <c r="G2849">
        <v>100</v>
      </c>
    </row>
    <row r="2850" spans="1:7" ht="14" x14ac:dyDescent="0.3">
      <c r="A2850" t="s">
        <v>2878</v>
      </c>
      <c r="B2850" t="s">
        <v>8</v>
      </c>
      <c r="C2850">
        <v>1</v>
      </c>
      <c r="D2850">
        <v>1</v>
      </c>
      <c r="E2850">
        <v>57.29</v>
      </c>
      <c r="F2850">
        <v>1</v>
      </c>
      <c r="G2850">
        <v>100</v>
      </c>
    </row>
    <row r="2851" spans="1:7" ht="14" x14ac:dyDescent="0.3">
      <c r="A2851" t="s">
        <v>2879</v>
      </c>
      <c r="B2851" t="s">
        <v>42</v>
      </c>
      <c r="C2851">
        <v>1</v>
      </c>
      <c r="D2851">
        <v>1</v>
      </c>
      <c r="E2851">
        <v>57.23</v>
      </c>
      <c r="F2851">
        <v>5</v>
      </c>
      <c r="G2851">
        <v>100</v>
      </c>
    </row>
    <row r="2852" spans="1:7" ht="14" x14ac:dyDescent="0.3">
      <c r="A2852" t="s">
        <v>2880</v>
      </c>
      <c r="B2852" t="s">
        <v>8</v>
      </c>
      <c r="C2852">
        <v>1</v>
      </c>
      <c r="D2852">
        <v>1</v>
      </c>
      <c r="E2852">
        <v>56.6</v>
      </c>
      <c r="F2852">
        <v>5</v>
      </c>
      <c r="G2852">
        <v>100</v>
      </c>
    </row>
    <row r="2853" spans="1:7" ht="14" x14ac:dyDescent="0.3">
      <c r="A2853" t="s">
        <v>2881</v>
      </c>
      <c r="B2853" t="s">
        <v>8</v>
      </c>
      <c r="C2853">
        <v>1</v>
      </c>
      <c r="D2853">
        <v>1</v>
      </c>
      <c r="E2853">
        <v>56.04</v>
      </c>
      <c r="F2853">
        <v>1</v>
      </c>
      <c r="G2853">
        <v>100</v>
      </c>
    </row>
    <row r="2854" spans="1:7" ht="14" x14ac:dyDescent="0.3">
      <c r="A2854" t="s">
        <v>2882</v>
      </c>
      <c r="B2854" t="s">
        <v>8</v>
      </c>
      <c r="C2854">
        <v>1</v>
      </c>
      <c r="D2854">
        <v>1</v>
      </c>
      <c r="E2854">
        <v>55.96</v>
      </c>
      <c r="F2854">
        <v>5</v>
      </c>
      <c r="G2854">
        <v>100</v>
      </c>
    </row>
    <row r="2855" spans="1:7" ht="14" x14ac:dyDescent="0.3">
      <c r="A2855" t="s">
        <v>2883</v>
      </c>
      <c r="B2855" t="s">
        <v>87</v>
      </c>
      <c r="C2855">
        <v>1</v>
      </c>
      <c r="D2855">
        <v>1</v>
      </c>
      <c r="E2855">
        <v>55.95</v>
      </c>
      <c r="F2855">
        <v>1</v>
      </c>
      <c r="G2855">
        <v>0</v>
      </c>
    </row>
    <row r="2856" spans="1:7" ht="14" x14ac:dyDescent="0.3">
      <c r="A2856" t="s">
        <v>2884</v>
      </c>
      <c r="B2856" t="s">
        <v>32</v>
      </c>
      <c r="C2856">
        <v>1</v>
      </c>
      <c r="D2856">
        <v>1</v>
      </c>
      <c r="E2856">
        <v>55.95</v>
      </c>
      <c r="F2856">
        <v>5</v>
      </c>
      <c r="G2856">
        <v>100</v>
      </c>
    </row>
    <row r="2857" spans="1:7" ht="14" x14ac:dyDescent="0.3">
      <c r="A2857" t="s">
        <v>2885</v>
      </c>
      <c r="B2857" t="s">
        <v>42</v>
      </c>
      <c r="C2857">
        <v>1</v>
      </c>
      <c r="D2857">
        <v>1</v>
      </c>
      <c r="E2857">
        <v>55.79</v>
      </c>
      <c r="F2857">
        <v>5</v>
      </c>
      <c r="G2857">
        <v>100</v>
      </c>
    </row>
    <row r="2858" spans="1:7" ht="14" x14ac:dyDescent="0.3">
      <c r="A2858" t="s">
        <v>2886</v>
      </c>
      <c r="B2858" t="s">
        <v>8</v>
      </c>
      <c r="C2858">
        <v>1</v>
      </c>
      <c r="D2858">
        <v>1</v>
      </c>
      <c r="E2858">
        <v>55.72</v>
      </c>
      <c r="F2858">
        <v>5</v>
      </c>
      <c r="G2858">
        <v>100</v>
      </c>
    </row>
    <row r="2859" spans="1:7" ht="14" x14ac:dyDescent="0.3">
      <c r="A2859" t="s">
        <v>2887</v>
      </c>
      <c r="B2859" t="s">
        <v>8</v>
      </c>
      <c r="C2859">
        <v>1</v>
      </c>
      <c r="D2859">
        <v>2</v>
      </c>
      <c r="E2859">
        <v>55.64</v>
      </c>
      <c r="F2859">
        <v>5</v>
      </c>
      <c r="G2859">
        <v>100</v>
      </c>
    </row>
    <row r="2860" spans="1:7" ht="14" x14ac:dyDescent="0.3">
      <c r="A2860" t="s">
        <v>2888</v>
      </c>
      <c r="B2860" t="s">
        <v>8</v>
      </c>
      <c r="C2860">
        <v>1</v>
      </c>
      <c r="D2860">
        <v>1</v>
      </c>
      <c r="E2860">
        <v>54.98</v>
      </c>
      <c r="F2860">
        <v>5</v>
      </c>
      <c r="G2860">
        <v>100</v>
      </c>
    </row>
    <row r="2861" spans="1:7" ht="14" x14ac:dyDescent="0.3">
      <c r="A2861" t="s">
        <v>2889</v>
      </c>
      <c r="B2861" t="s">
        <v>8</v>
      </c>
      <c r="C2861">
        <v>2</v>
      </c>
      <c r="D2861">
        <v>2</v>
      </c>
      <c r="E2861">
        <v>54.42</v>
      </c>
      <c r="F2861">
        <v>4</v>
      </c>
      <c r="G2861">
        <v>100</v>
      </c>
    </row>
    <row r="2862" spans="1:7" ht="14" x14ac:dyDescent="0.3">
      <c r="A2862" t="s">
        <v>2890</v>
      </c>
      <c r="B2862" t="s">
        <v>8</v>
      </c>
      <c r="C2862">
        <v>1</v>
      </c>
      <c r="D2862">
        <v>1</v>
      </c>
      <c r="E2862">
        <v>53.85</v>
      </c>
      <c r="F2862">
        <v>5</v>
      </c>
      <c r="G2862">
        <v>100</v>
      </c>
    </row>
    <row r="2863" spans="1:7" ht="14" x14ac:dyDescent="0.3">
      <c r="A2863" t="s">
        <v>2891</v>
      </c>
      <c r="B2863" t="s">
        <v>8</v>
      </c>
      <c r="C2863">
        <v>1</v>
      </c>
      <c r="D2863">
        <v>1</v>
      </c>
      <c r="E2863">
        <v>53.72</v>
      </c>
      <c r="F2863">
        <v>3</v>
      </c>
      <c r="G2863">
        <v>100</v>
      </c>
    </row>
    <row r="2864" spans="1:7" ht="14" x14ac:dyDescent="0.3">
      <c r="A2864" t="s">
        <v>2892</v>
      </c>
      <c r="B2864" t="s">
        <v>32</v>
      </c>
      <c r="C2864">
        <v>1</v>
      </c>
      <c r="D2864">
        <v>1</v>
      </c>
      <c r="E2864">
        <v>53.52</v>
      </c>
      <c r="F2864">
        <v>5</v>
      </c>
      <c r="G2864">
        <v>100</v>
      </c>
    </row>
    <row r="2865" spans="1:7" ht="14" x14ac:dyDescent="0.3">
      <c r="A2865" t="s">
        <v>2893</v>
      </c>
      <c r="B2865" t="s">
        <v>8</v>
      </c>
      <c r="C2865">
        <v>1</v>
      </c>
      <c r="D2865">
        <v>1</v>
      </c>
      <c r="E2865">
        <v>53.47</v>
      </c>
      <c r="F2865">
        <v>5</v>
      </c>
      <c r="G2865">
        <v>0</v>
      </c>
    </row>
    <row r="2866" spans="1:7" ht="14" x14ac:dyDescent="0.3">
      <c r="A2866" t="s">
        <v>2894</v>
      </c>
      <c r="B2866" t="s">
        <v>12</v>
      </c>
      <c r="C2866">
        <v>1</v>
      </c>
      <c r="D2866">
        <v>1</v>
      </c>
      <c r="E2866">
        <v>53.15</v>
      </c>
      <c r="F2866">
        <v>5</v>
      </c>
      <c r="G2866">
        <v>100</v>
      </c>
    </row>
    <row r="2867" spans="1:7" ht="14" x14ac:dyDescent="0.3">
      <c r="A2867" t="s">
        <v>2895</v>
      </c>
      <c r="B2867" t="s">
        <v>8</v>
      </c>
      <c r="C2867">
        <v>1</v>
      </c>
      <c r="D2867">
        <v>1</v>
      </c>
      <c r="E2867">
        <v>52.78</v>
      </c>
      <c r="F2867">
        <v>1</v>
      </c>
      <c r="G2867">
        <v>100</v>
      </c>
    </row>
    <row r="2868" spans="1:7" ht="14" x14ac:dyDescent="0.3">
      <c r="A2868" t="s">
        <v>2896</v>
      </c>
      <c r="B2868" t="s">
        <v>42</v>
      </c>
      <c r="C2868">
        <v>2</v>
      </c>
      <c r="D2868">
        <v>2</v>
      </c>
      <c r="E2868">
        <v>52.62</v>
      </c>
      <c r="F2868">
        <v>5</v>
      </c>
      <c r="G2868">
        <v>100</v>
      </c>
    </row>
    <row r="2869" spans="1:7" ht="14" x14ac:dyDescent="0.3">
      <c r="A2869" t="s">
        <v>2897</v>
      </c>
      <c r="B2869" t="s">
        <v>32</v>
      </c>
      <c r="C2869">
        <v>2</v>
      </c>
      <c r="D2869">
        <v>2</v>
      </c>
      <c r="E2869">
        <v>52.27</v>
      </c>
      <c r="F2869">
        <v>4.5</v>
      </c>
      <c r="G2869">
        <v>100</v>
      </c>
    </row>
    <row r="2870" spans="1:7" ht="14" x14ac:dyDescent="0.3">
      <c r="A2870" s="1" t="s">
        <v>2898</v>
      </c>
      <c r="B2870" t="s">
        <v>24</v>
      </c>
      <c r="C2870">
        <v>1</v>
      </c>
      <c r="D2870">
        <v>1</v>
      </c>
      <c r="E2870">
        <v>51.62</v>
      </c>
      <c r="F2870" t="s">
        <v>519</v>
      </c>
      <c r="G2870">
        <v>100</v>
      </c>
    </row>
    <row r="2871" spans="1:7" ht="14" x14ac:dyDescent="0.3">
      <c r="A2871" t="s">
        <v>2899</v>
      </c>
      <c r="B2871" t="s">
        <v>8</v>
      </c>
      <c r="C2871">
        <v>2</v>
      </c>
      <c r="D2871">
        <v>2</v>
      </c>
      <c r="E2871">
        <v>51.55</v>
      </c>
      <c r="F2871">
        <v>4</v>
      </c>
      <c r="G2871">
        <v>100</v>
      </c>
    </row>
    <row r="2872" spans="1:7" ht="14" x14ac:dyDescent="0.3">
      <c r="A2872" t="s">
        <v>2900</v>
      </c>
      <c r="B2872" t="s">
        <v>22</v>
      </c>
      <c r="C2872">
        <v>1</v>
      </c>
      <c r="D2872">
        <v>1</v>
      </c>
      <c r="E2872">
        <v>51.42</v>
      </c>
      <c r="F2872">
        <v>3</v>
      </c>
      <c r="G2872">
        <v>100</v>
      </c>
    </row>
    <row r="2873" spans="1:7" ht="14" x14ac:dyDescent="0.3">
      <c r="A2873" t="s">
        <v>2901</v>
      </c>
      <c r="B2873" t="s">
        <v>22</v>
      </c>
      <c r="C2873">
        <v>1</v>
      </c>
      <c r="D2873">
        <v>1</v>
      </c>
      <c r="E2873">
        <v>50.86</v>
      </c>
      <c r="F2873">
        <v>4</v>
      </c>
      <c r="G2873">
        <v>100</v>
      </c>
    </row>
    <row r="2874" spans="1:7" ht="14" x14ac:dyDescent="0.3">
      <c r="A2874" t="s">
        <v>2902</v>
      </c>
      <c r="B2874" t="s">
        <v>8</v>
      </c>
      <c r="C2874">
        <v>2</v>
      </c>
      <c r="D2874">
        <v>2</v>
      </c>
      <c r="E2874">
        <v>50.83</v>
      </c>
      <c r="F2874">
        <v>4.5</v>
      </c>
      <c r="G2874">
        <v>100</v>
      </c>
    </row>
    <row r="2875" spans="1:7" ht="14" x14ac:dyDescent="0.3">
      <c r="A2875" t="s">
        <v>2903</v>
      </c>
      <c r="B2875" t="s">
        <v>8</v>
      </c>
      <c r="C2875">
        <v>1</v>
      </c>
      <c r="D2875">
        <v>1</v>
      </c>
      <c r="E2875">
        <v>50.7</v>
      </c>
      <c r="F2875">
        <v>5</v>
      </c>
      <c r="G2875">
        <v>100</v>
      </c>
    </row>
    <row r="2876" spans="1:7" ht="14" x14ac:dyDescent="0.3">
      <c r="A2876" t="s">
        <v>2904</v>
      </c>
      <c r="B2876" t="s">
        <v>8</v>
      </c>
      <c r="C2876">
        <v>1</v>
      </c>
      <c r="D2876">
        <v>1</v>
      </c>
      <c r="E2876">
        <v>50.23</v>
      </c>
      <c r="F2876">
        <v>5</v>
      </c>
      <c r="G2876">
        <v>100</v>
      </c>
    </row>
    <row r="2877" spans="1:7" ht="14" x14ac:dyDescent="0.3">
      <c r="A2877" t="s">
        <v>2905</v>
      </c>
      <c r="B2877" t="s">
        <v>22</v>
      </c>
      <c r="C2877">
        <v>1</v>
      </c>
      <c r="D2877">
        <v>1</v>
      </c>
      <c r="E2877">
        <v>50.13</v>
      </c>
      <c r="F2877">
        <v>5</v>
      </c>
      <c r="G2877">
        <v>100</v>
      </c>
    </row>
    <row r="2878" spans="1:7" ht="14" x14ac:dyDescent="0.3">
      <c r="A2878" t="s">
        <v>2906</v>
      </c>
      <c r="B2878" t="s">
        <v>8</v>
      </c>
      <c r="C2878">
        <v>1</v>
      </c>
      <c r="D2878">
        <v>1</v>
      </c>
      <c r="E2878">
        <v>50.1</v>
      </c>
      <c r="F2878">
        <v>5</v>
      </c>
      <c r="G2878">
        <v>100</v>
      </c>
    </row>
    <row r="2879" spans="1:7" ht="14" x14ac:dyDescent="0.3">
      <c r="A2879" t="s">
        <v>2907</v>
      </c>
      <c r="B2879" t="s">
        <v>87</v>
      </c>
      <c r="C2879">
        <v>1</v>
      </c>
      <c r="D2879">
        <v>1</v>
      </c>
      <c r="E2879">
        <v>49.69</v>
      </c>
      <c r="F2879">
        <v>5</v>
      </c>
      <c r="G2879">
        <v>100</v>
      </c>
    </row>
    <row r="2880" spans="1:7" ht="14" x14ac:dyDescent="0.3">
      <c r="A2880" t="s">
        <v>2908</v>
      </c>
      <c r="B2880" t="s">
        <v>8</v>
      </c>
      <c r="C2880">
        <v>1</v>
      </c>
      <c r="D2880">
        <v>1</v>
      </c>
      <c r="E2880">
        <v>49.45</v>
      </c>
      <c r="F2880">
        <v>5</v>
      </c>
      <c r="G2880">
        <v>100</v>
      </c>
    </row>
    <row r="2881" spans="1:7" ht="14" x14ac:dyDescent="0.3">
      <c r="A2881" t="s">
        <v>2909</v>
      </c>
      <c r="B2881" t="s">
        <v>8</v>
      </c>
      <c r="C2881">
        <v>1</v>
      </c>
      <c r="D2881">
        <v>1</v>
      </c>
      <c r="E2881">
        <v>49.12</v>
      </c>
      <c r="F2881">
        <v>5</v>
      </c>
      <c r="G2881">
        <v>100</v>
      </c>
    </row>
    <row r="2882" spans="1:7" ht="14" x14ac:dyDescent="0.3">
      <c r="A2882" t="s">
        <v>2910</v>
      </c>
      <c r="B2882" t="s">
        <v>8</v>
      </c>
      <c r="C2882">
        <v>1</v>
      </c>
      <c r="D2882">
        <v>1</v>
      </c>
      <c r="E2882">
        <v>49.04</v>
      </c>
      <c r="F2882">
        <v>5</v>
      </c>
      <c r="G2882">
        <v>100</v>
      </c>
    </row>
    <row r="2883" spans="1:7" ht="14" x14ac:dyDescent="0.3">
      <c r="A2883" t="s">
        <v>2911</v>
      </c>
      <c r="B2883" t="s">
        <v>8</v>
      </c>
      <c r="C2883">
        <v>1</v>
      </c>
      <c r="D2883">
        <v>1</v>
      </c>
      <c r="E2883">
        <v>48.98</v>
      </c>
      <c r="F2883">
        <v>5</v>
      </c>
      <c r="G2883">
        <v>100</v>
      </c>
    </row>
    <row r="2884" spans="1:7" ht="14" x14ac:dyDescent="0.3">
      <c r="A2884" t="s">
        <v>2912</v>
      </c>
      <c r="B2884" t="s">
        <v>309</v>
      </c>
      <c r="C2884">
        <v>1</v>
      </c>
      <c r="D2884">
        <v>1</v>
      </c>
      <c r="E2884">
        <v>48.94</v>
      </c>
      <c r="F2884">
        <v>4</v>
      </c>
      <c r="G2884">
        <v>100</v>
      </c>
    </row>
    <row r="2885" spans="1:7" ht="14" x14ac:dyDescent="0.3">
      <c r="A2885" t="s">
        <v>2913</v>
      </c>
      <c r="B2885" t="s">
        <v>8</v>
      </c>
      <c r="C2885">
        <v>1</v>
      </c>
      <c r="D2885">
        <v>1</v>
      </c>
      <c r="E2885">
        <v>48.21</v>
      </c>
      <c r="F2885">
        <v>4</v>
      </c>
      <c r="G2885">
        <v>100</v>
      </c>
    </row>
    <row r="2886" spans="1:7" ht="14" x14ac:dyDescent="0.3">
      <c r="A2886" t="s">
        <v>2914</v>
      </c>
      <c r="B2886" t="s">
        <v>8</v>
      </c>
      <c r="C2886">
        <v>1</v>
      </c>
      <c r="D2886">
        <v>1</v>
      </c>
      <c r="E2886">
        <v>47.68</v>
      </c>
      <c r="F2886">
        <v>4</v>
      </c>
      <c r="G2886">
        <v>100</v>
      </c>
    </row>
    <row r="2887" spans="1:7" ht="14" x14ac:dyDescent="0.3">
      <c r="A2887" s="1" t="s">
        <v>2915</v>
      </c>
      <c r="B2887" t="s">
        <v>8</v>
      </c>
      <c r="C2887">
        <v>1</v>
      </c>
      <c r="D2887">
        <v>1</v>
      </c>
      <c r="E2887">
        <v>47.43</v>
      </c>
      <c r="F2887">
        <v>5</v>
      </c>
      <c r="G2887">
        <v>100</v>
      </c>
    </row>
    <row r="2888" spans="1:7" ht="14" x14ac:dyDescent="0.3">
      <c r="A2888" t="s">
        <v>2916</v>
      </c>
      <c r="B2888" t="s">
        <v>8</v>
      </c>
      <c r="C2888">
        <v>1</v>
      </c>
      <c r="D2888">
        <v>2</v>
      </c>
      <c r="E2888">
        <v>47.37</v>
      </c>
      <c r="F2888">
        <v>2</v>
      </c>
      <c r="G2888">
        <v>100</v>
      </c>
    </row>
    <row r="2889" spans="1:7" ht="14" x14ac:dyDescent="0.3">
      <c r="A2889" t="s">
        <v>2917</v>
      </c>
      <c r="B2889" t="s">
        <v>8</v>
      </c>
      <c r="C2889">
        <v>1</v>
      </c>
      <c r="D2889">
        <v>1</v>
      </c>
      <c r="E2889">
        <v>47.32</v>
      </c>
      <c r="F2889">
        <v>5</v>
      </c>
      <c r="G2889">
        <v>100</v>
      </c>
    </row>
    <row r="2890" spans="1:7" ht="14" x14ac:dyDescent="0.3">
      <c r="A2890" t="s">
        <v>2918</v>
      </c>
      <c r="B2890" t="s">
        <v>22</v>
      </c>
      <c r="C2890">
        <v>1</v>
      </c>
      <c r="D2890">
        <v>1</v>
      </c>
      <c r="E2890">
        <v>47.14</v>
      </c>
      <c r="F2890">
        <v>5</v>
      </c>
      <c r="G2890">
        <v>100</v>
      </c>
    </row>
    <row r="2891" spans="1:7" ht="14" x14ac:dyDescent="0.3">
      <c r="A2891" t="s">
        <v>2919</v>
      </c>
      <c r="B2891" t="s">
        <v>24</v>
      </c>
      <c r="C2891">
        <v>1</v>
      </c>
      <c r="D2891">
        <v>1</v>
      </c>
      <c r="E2891">
        <v>47.04</v>
      </c>
      <c r="F2891">
        <v>5</v>
      </c>
      <c r="G2891">
        <v>100</v>
      </c>
    </row>
    <row r="2892" spans="1:7" ht="14" x14ac:dyDescent="0.3">
      <c r="A2892" t="s">
        <v>2920</v>
      </c>
      <c r="B2892" t="s">
        <v>87</v>
      </c>
      <c r="C2892">
        <v>1</v>
      </c>
      <c r="D2892">
        <v>1</v>
      </c>
      <c r="E2892">
        <v>46.01</v>
      </c>
      <c r="F2892">
        <v>3</v>
      </c>
      <c r="G2892">
        <v>100</v>
      </c>
    </row>
    <row r="2893" spans="1:7" ht="14" x14ac:dyDescent="0.3">
      <c r="A2893" t="s">
        <v>2921</v>
      </c>
      <c r="B2893" t="s">
        <v>87</v>
      </c>
      <c r="C2893">
        <v>1</v>
      </c>
      <c r="D2893">
        <v>1</v>
      </c>
      <c r="E2893">
        <v>45.09</v>
      </c>
      <c r="F2893">
        <v>5</v>
      </c>
      <c r="G2893">
        <v>100</v>
      </c>
    </row>
    <row r="2894" spans="1:7" ht="14" x14ac:dyDescent="0.3">
      <c r="A2894" t="s">
        <v>2922</v>
      </c>
      <c r="B2894" t="s">
        <v>22</v>
      </c>
      <c r="C2894">
        <v>1</v>
      </c>
      <c r="D2894">
        <v>1</v>
      </c>
      <c r="E2894">
        <v>45.01</v>
      </c>
      <c r="F2894">
        <v>4</v>
      </c>
      <c r="G2894">
        <v>100</v>
      </c>
    </row>
    <row r="2895" spans="1:7" ht="14" x14ac:dyDescent="0.3">
      <c r="A2895" t="s">
        <v>2923</v>
      </c>
      <c r="B2895" t="s">
        <v>24</v>
      </c>
      <c r="C2895">
        <v>1</v>
      </c>
      <c r="D2895">
        <v>1</v>
      </c>
      <c r="E2895">
        <v>44.51</v>
      </c>
      <c r="F2895">
        <v>5</v>
      </c>
      <c r="G2895">
        <v>100</v>
      </c>
    </row>
    <row r="2896" spans="1:7" ht="14" x14ac:dyDescent="0.3">
      <c r="A2896" t="s">
        <v>2924</v>
      </c>
      <c r="B2896" t="s">
        <v>8</v>
      </c>
      <c r="C2896">
        <v>1</v>
      </c>
      <c r="D2896">
        <v>1</v>
      </c>
      <c r="E2896">
        <v>44.42</v>
      </c>
      <c r="F2896">
        <v>5</v>
      </c>
      <c r="G2896">
        <v>100</v>
      </c>
    </row>
    <row r="2897" spans="1:7" ht="14" x14ac:dyDescent="0.3">
      <c r="A2897" t="s">
        <v>2925</v>
      </c>
      <c r="B2897" t="s">
        <v>24</v>
      </c>
      <c r="C2897">
        <v>1</v>
      </c>
      <c r="D2897">
        <v>1</v>
      </c>
      <c r="E2897">
        <v>43.31</v>
      </c>
      <c r="F2897">
        <v>5</v>
      </c>
      <c r="G2897">
        <v>100</v>
      </c>
    </row>
    <row r="2898" spans="1:7" ht="14" x14ac:dyDescent="0.3">
      <c r="A2898" t="s">
        <v>2926</v>
      </c>
      <c r="B2898" t="s">
        <v>87</v>
      </c>
      <c r="C2898">
        <v>1</v>
      </c>
      <c r="D2898">
        <v>1</v>
      </c>
      <c r="E2898">
        <v>43.13</v>
      </c>
      <c r="F2898">
        <v>4</v>
      </c>
      <c r="G2898">
        <v>100</v>
      </c>
    </row>
    <row r="2899" spans="1:7" ht="14" x14ac:dyDescent="0.3">
      <c r="A2899" t="s">
        <v>2927</v>
      </c>
      <c r="B2899" t="s">
        <v>22</v>
      </c>
      <c r="C2899">
        <v>1</v>
      </c>
      <c r="D2899">
        <v>1</v>
      </c>
      <c r="E2899">
        <v>43</v>
      </c>
      <c r="F2899">
        <v>5</v>
      </c>
      <c r="G2899">
        <v>100</v>
      </c>
    </row>
    <row r="2900" spans="1:7" ht="14" x14ac:dyDescent="0.3">
      <c r="A2900" t="s">
        <v>2928</v>
      </c>
      <c r="B2900" t="s">
        <v>8</v>
      </c>
      <c r="C2900">
        <v>1</v>
      </c>
      <c r="D2900">
        <v>1</v>
      </c>
      <c r="E2900">
        <v>42.49</v>
      </c>
      <c r="F2900">
        <v>3</v>
      </c>
      <c r="G2900">
        <v>100</v>
      </c>
    </row>
    <row r="2901" spans="1:7" ht="14" x14ac:dyDescent="0.3">
      <c r="A2901" t="s">
        <v>2929</v>
      </c>
      <c r="B2901" t="s">
        <v>42</v>
      </c>
      <c r="C2901">
        <v>1</v>
      </c>
      <c r="D2901">
        <v>1</v>
      </c>
      <c r="E2901">
        <v>42.19</v>
      </c>
      <c r="F2901">
        <v>5</v>
      </c>
      <c r="G2901">
        <v>100</v>
      </c>
    </row>
    <row r="2902" spans="1:7" ht="14" x14ac:dyDescent="0.3">
      <c r="A2902" t="s">
        <v>2930</v>
      </c>
      <c r="B2902" t="s">
        <v>22</v>
      </c>
      <c r="C2902">
        <v>1</v>
      </c>
      <c r="D2902">
        <v>1</v>
      </c>
      <c r="E2902">
        <v>42.05</v>
      </c>
      <c r="F2902">
        <v>3</v>
      </c>
      <c r="G2902">
        <v>100</v>
      </c>
    </row>
    <row r="2903" spans="1:7" ht="14" x14ac:dyDescent="0.3">
      <c r="A2903" t="s">
        <v>2931</v>
      </c>
      <c r="B2903" t="s">
        <v>8</v>
      </c>
      <c r="C2903">
        <v>1</v>
      </c>
      <c r="D2903">
        <v>1</v>
      </c>
      <c r="E2903">
        <v>40.380000000000003</v>
      </c>
      <c r="F2903">
        <v>5</v>
      </c>
      <c r="G2903">
        <v>100</v>
      </c>
    </row>
    <row r="2904" spans="1:7" ht="14" x14ac:dyDescent="0.3">
      <c r="A2904" t="s">
        <v>2932</v>
      </c>
      <c r="B2904" t="s">
        <v>32</v>
      </c>
      <c r="C2904">
        <v>1</v>
      </c>
      <c r="D2904">
        <v>1</v>
      </c>
      <c r="E2904">
        <v>40.270000000000003</v>
      </c>
      <c r="F2904">
        <v>5</v>
      </c>
      <c r="G2904">
        <v>100</v>
      </c>
    </row>
    <row r="2905" spans="1:7" ht="14" x14ac:dyDescent="0.3">
      <c r="A2905" t="s">
        <v>2933</v>
      </c>
      <c r="B2905" t="s">
        <v>24</v>
      </c>
      <c r="C2905">
        <v>1</v>
      </c>
      <c r="D2905">
        <v>1</v>
      </c>
      <c r="E2905">
        <v>40.1</v>
      </c>
      <c r="F2905">
        <v>5</v>
      </c>
      <c r="G2905">
        <v>100</v>
      </c>
    </row>
    <row r="2906" spans="1:7" ht="14" x14ac:dyDescent="0.3">
      <c r="A2906" t="s">
        <v>2934</v>
      </c>
      <c r="B2906" t="s">
        <v>8</v>
      </c>
      <c r="C2906">
        <v>1</v>
      </c>
      <c r="D2906">
        <v>1</v>
      </c>
      <c r="E2906">
        <v>39.99</v>
      </c>
      <c r="F2906">
        <v>4</v>
      </c>
      <c r="G2906">
        <v>100</v>
      </c>
    </row>
    <row r="2907" spans="1:7" ht="14" x14ac:dyDescent="0.3">
      <c r="A2907" t="s">
        <v>2935</v>
      </c>
      <c r="B2907" t="s">
        <v>32</v>
      </c>
      <c r="C2907">
        <v>1</v>
      </c>
      <c r="D2907">
        <v>1</v>
      </c>
      <c r="E2907">
        <v>39.46</v>
      </c>
      <c r="F2907" t="s">
        <v>519</v>
      </c>
      <c r="G2907">
        <v>0</v>
      </c>
    </row>
    <row r="2908" spans="1:7" ht="14" x14ac:dyDescent="0.3">
      <c r="A2908" t="s">
        <v>2936</v>
      </c>
      <c r="B2908" t="s">
        <v>8</v>
      </c>
      <c r="C2908">
        <v>1</v>
      </c>
      <c r="D2908">
        <v>1</v>
      </c>
      <c r="E2908">
        <v>39.42</v>
      </c>
      <c r="F2908">
        <v>5</v>
      </c>
      <c r="G2908">
        <v>100</v>
      </c>
    </row>
    <row r="2909" spans="1:7" ht="14" x14ac:dyDescent="0.3">
      <c r="A2909" t="s">
        <v>2937</v>
      </c>
      <c r="B2909" t="s">
        <v>101</v>
      </c>
      <c r="C2909">
        <v>1</v>
      </c>
      <c r="D2909">
        <v>1</v>
      </c>
      <c r="E2909">
        <v>39.17</v>
      </c>
      <c r="F2909">
        <v>5</v>
      </c>
      <c r="G2909">
        <v>100</v>
      </c>
    </row>
    <row r="2910" spans="1:7" ht="14" x14ac:dyDescent="0.3">
      <c r="A2910" t="s">
        <v>2938</v>
      </c>
      <c r="B2910" t="s">
        <v>8</v>
      </c>
      <c r="C2910">
        <v>1</v>
      </c>
      <c r="D2910">
        <v>1</v>
      </c>
      <c r="E2910">
        <v>39.090000000000003</v>
      </c>
      <c r="F2910">
        <v>4</v>
      </c>
      <c r="G2910">
        <v>100</v>
      </c>
    </row>
    <row r="2911" spans="1:7" ht="14" x14ac:dyDescent="0.3">
      <c r="A2911" t="s">
        <v>2939</v>
      </c>
      <c r="B2911" t="s">
        <v>8</v>
      </c>
      <c r="C2911">
        <v>1</v>
      </c>
      <c r="D2911">
        <v>2</v>
      </c>
      <c r="E2911">
        <v>38.479999999999997</v>
      </c>
      <c r="F2911">
        <v>4</v>
      </c>
      <c r="G2911">
        <v>100</v>
      </c>
    </row>
    <row r="2912" spans="1:7" ht="14" x14ac:dyDescent="0.3">
      <c r="A2912" t="s">
        <v>2940</v>
      </c>
      <c r="B2912" t="s">
        <v>8</v>
      </c>
      <c r="C2912">
        <v>1</v>
      </c>
      <c r="D2912">
        <v>1</v>
      </c>
      <c r="E2912">
        <v>38.369999999999997</v>
      </c>
      <c r="F2912">
        <v>5</v>
      </c>
      <c r="G2912">
        <v>100</v>
      </c>
    </row>
    <row r="2913" spans="1:7" ht="14" x14ac:dyDescent="0.3">
      <c r="A2913" t="s">
        <v>2941</v>
      </c>
      <c r="B2913" t="s">
        <v>8</v>
      </c>
      <c r="C2913">
        <v>1</v>
      </c>
      <c r="D2913">
        <v>1</v>
      </c>
      <c r="E2913">
        <v>37.68</v>
      </c>
      <c r="F2913">
        <v>4</v>
      </c>
      <c r="G2913">
        <v>100</v>
      </c>
    </row>
    <row r="2914" spans="1:7" ht="14" x14ac:dyDescent="0.3">
      <c r="A2914" t="s">
        <v>2942</v>
      </c>
      <c r="B2914" t="s">
        <v>42</v>
      </c>
      <c r="C2914">
        <v>1</v>
      </c>
      <c r="D2914">
        <v>1</v>
      </c>
      <c r="E2914">
        <v>37.56</v>
      </c>
      <c r="F2914">
        <v>5</v>
      </c>
      <c r="G2914">
        <v>100</v>
      </c>
    </row>
    <row r="2915" spans="1:7" ht="14" x14ac:dyDescent="0.3">
      <c r="A2915" t="s">
        <v>2943</v>
      </c>
      <c r="B2915" t="s">
        <v>8</v>
      </c>
      <c r="C2915">
        <v>1</v>
      </c>
      <c r="D2915">
        <v>1</v>
      </c>
      <c r="E2915">
        <v>37.54</v>
      </c>
      <c r="F2915">
        <v>5</v>
      </c>
      <c r="G2915">
        <v>100</v>
      </c>
    </row>
    <row r="2916" spans="1:7" ht="14" x14ac:dyDescent="0.3">
      <c r="A2916" t="s">
        <v>2944</v>
      </c>
      <c r="B2916" t="s">
        <v>24</v>
      </c>
      <c r="C2916">
        <v>1</v>
      </c>
      <c r="D2916">
        <v>1</v>
      </c>
      <c r="E2916">
        <v>37.51</v>
      </c>
      <c r="F2916">
        <v>5</v>
      </c>
      <c r="G2916">
        <v>100</v>
      </c>
    </row>
    <row r="2917" spans="1:7" ht="14" x14ac:dyDescent="0.3">
      <c r="A2917" t="s">
        <v>2945</v>
      </c>
      <c r="B2917" t="s">
        <v>8</v>
      </c>
      <c r="C2917">
        <v>1</v>
      </c>
      <c r="D2917">
        <v>1</v>
      </c>
      <c r="E2917">
        <v>37.130000000000003</v>
      </c>
      <c r="F2917">
        <v>5</v>
      </c>
      <c r="G2917">
        <v>100</v>
      </c>
    </row>
    <row r="2918" spans="1:7" ht="14" x14ac:dyDescent="0.3">
      <c r="A2918" t="s">
        <v>2946</v>
      </c>
      <c r="B2918" t="s">
        <v>32</v>
      </c>
      <c r="C2918">
        <v>1</v>
      </c>
      <c r="D2918">
        <v>1</v>
      </c>
      <c r="E2918">
        <v>37.090000000000003</v>
      </c>
      <c r="F2918">
        <v>4</v>
      </c>
      <c r="G2918">
        <v>100</v>
      </c>
    </row>
    <row r="2919" spans="1:7" ht="14" x14ac:dyDescent="0.3">
      <c r="A2919" t="s">
        <v>2947</v>
      </c>
      <c r="B2919" t="s">
        <v>8</v>
      </c>
      <c r="C2919">
        <v>1</v>
      </c>
      <c r="D2919">
        <v>1</v>
      </c>
      <c r="E2919">
        <v>36.840000000000003</v>
      </c>
      <c r="F2919">
        <v>5</v>
      </c>
      <c r="G2919">
        <v>100</v>
      </c>
    </row>
    <row r="2920" spans="1:7" ht="14" x14ac:dyDescent="0.3">
      <c r="A2920" t="s">
        <v>2948</v>
      </c>
      <c r="B2920" t="s">
        <v>22</v>
      </c>
      <c r="C2920">
        <v>1</v>
      </c>
      <c r="D2920">
        <v>1</v>
      </c>
      <c r="E2920">
        <v>36.700000000000003</v>
      </c>
      <c r="F2920">
        <v>4</v>
      </c>
      <c r="G2920">
        <v>100</v>
      </c>
    </row>
    <row r="2921" spans="1:7" ht="14" x14ac:dyDescent="0.3">
      <c r="A2921" t="s">
        <v>2949</v>
      </c>
      <c r="B2921" t="s">
        <v>87</v>
      </c>
      <c r="C2921">
        <v>1</v>
      </c>
      <c r="D2921">
        <v>1</v>
      </c>
      <c r="E2921">
        <v>36.56</v>
      </c>
      <c r="F2921">
        <v>1</v>
      </c>
      <c r="G2921">
        <v>100</v>
      </c>
    </row>
    <row r="2922" spans="1:7" ht="14" x14ac:dyDescent="0.3">
      <c r="A2922" t="s">
        <v>2950</v>
      </c>
      <c r="B2922" t="s">
        <v>22</v>
      </c>
      <c r="C2922">
        <v>1</v>
      </c>
      <c r="D2922">
        <v>1</v>
      </c>
      <c r="E2922">
        <v>35.74</v>
      </c>
      <c r="F2922">
        <v>5</v>
      </c>
      <c r="G2922">
        <v>100</v>
      </c>
    </row>
    <row r="2923" spans="1:7" ht="14" x14ac:dyDescent="0.3">
      <c r="A2923" t="s">
        <v>2951</v>
      </c>
      <c r="B2923" t="s">
        <v>22</v>
      </c>
      <c r="C2923">
        <v>1</v>
      </c>
      <c r="D2923">
        <v>1</v>
      </c>
      <c r="E2923">
        <v>35.42</v>
      </c>
      <c r="F2923">
        <v>5</v>
      </c>
      <c r="G2923">
        <v>100</v>
      </c>
    </row>
    <row r="2924" spans="1:7" ht="14" x14ac:dyDescent="0.3">
      <c r="A2924" t="s">
        <v>2952</v>
      </c>
      <c r="B2924" t="s">
        <v>8</v>
      </c>
      <c r="C2924">
        <v>1</v>
      </c>
      <c r="D2924">
        <v>1</v>
      </c>
      <c r="E2924">
        <v>35.130000000000003</v>
      </c>
      <c r="F2924">
        <v>5</v>
      </c>
      <c r="G2924">
        <v>100</v>
      </c>
    </row>
    <row r="2925" spans="1:7" ht="14" x14ac:dyDescent="0.3">
      <c r="A2925" t="s">
        <v>2953</v>
      </c>
      <c r="B2925" t="s">
        <v>8</v>
      </c>
      <c r="C2925">
        <v>1</v>
      </c>
      <c r="D2925">
        <v>1</v>
      </c>
      <c r="E2925">
        <v>34.619999999999997</v>
      </c>
      <c r="F2925">
        <v>4</v>
      </c>
      <c r="G2925">
        <v>100</v>
      </c>
    </row>
    <row r="2926" spans="1:7" ht="14" x14ac:dyDescent="0.3">
      <c r="A2926" t="s">
        <v>2954</v>
      </c>
      <c r="B2926" t="s">
        <v>8</v>
      </c>
      <c r="C2926">
        <v>1</v>
      </c>
      <c r="D2926">
        <v>1</v>
      </c>
      <c r="E2926">
        <v>34.590000000000003</v>
      </c>
      <c r="F2926">
        <v>5</v>
      </c>
      <c r="G2926">
        <v>100</v>
      </c>
    </row>
    <row r="2927" spans="1:7" ht="14" x14ac:dyDescent="0.3">
      <c r="A2927" t="s">
        <v>2955</v>
      </c>
      <c r="B2927" t="s">
        <v>8</v>
      </c>
      <c r="C2927">
        <v>1</v>
      </c>
      <c r="D2927">
        <v>1</v>
      </c>
      <c r="E2927">
        <v>34.42</v>
      </c>
      <c r="F2927" t="s">
        <v>519</v>
      </c>
      <c r="G2927">
        <v>100</v>
      </c>
    </row>
    <row r="2928" spans="1:7" ht="14" x14ac:dyDescent="0.3">
      <c r="A2928" t="s">
        <v>2956</v>
      </c>
      <c r="B2928" t="s">
        <v>8</v>
      </c>
      <c r="C2928">
        <v>1</v>
      </c>
      <c r="D2928">
        <v>1</v>
      </c>
      <c r="E2928">
        <v>34.42</v>
      </c>
      <c r="F2928">
        <v>5</v>
      </c>
      <c r="G2928">
        <v>100</v>
      </c>
    </row>
    <row r="2929" spans="1:7" ht="14" x14ac:dyDescent="0.3">
      <c r="A2929" t="s">
        <v>2957</v>
      </c>
      <c r="B2929" t="s">
        <v>24</v>
      </c>
      <c r="C2929">
        <v>1</v>
      </c>
      <c r="D2929">
        <v>1</v>
      </c>
      <c r="E2929">
        <v>34.1</v>
      </c>
      <c r="F2929">
        <v>5</v>
      </c>
      <c r="G2929">
        <v>100</v>
      </c>
    </row>
    <row r="2930" spans="1:7" ht="14" x14ac:dyDescent="0.3">
      <c r="A2930" t="s">
        <v>2958</v>
      </c>
      <c r="B2930" t="s">
        <v>8</v>
      </c>
      <c r="C2930">
        <v>1</v>
      </c>
      <c r="D2930">
        <v>1</v>
      </c>
      <c r="E2930">
        <v>34</v>
      </c>
      <c r="F2930">
        <v>5</v>
      </c>
      <c r="G2930">
        <v>100</v>
      </c>
    </row>
    <row r="2931" spans="1:7" ht="14" x14ac:dyDescent="0.3">
      <c r="A2931" t="s">
        <v>2959</v>
      </c>
      <c r="B2931" t="s">
        <v>32</v>
      </c>
      <c r="C2931">
        <v>1</v>
      </c>
      <c r="D2931">
        <v>1</v>
      </c>
      <c r="E2931">
        <v>33.9</v>
      </c>
      <c r="F2931">
        <v>5</v>
      </c>
      <c r="G2931">
        <v>100</v>
      </c>
    </row>
    <row r="2932" spans="1:7" ht="14" x14ac:dyDescent="0.3">
      <c r="A2932" t="s">
        <v>2960</v>
      </c>
      <c r="B2932" t="s">
        <v>8</v>
      </c>
      <c r="C2932">
        <v>1</v>
      </c>
      <c r="D2932">
        <v>1</v>
      </c>
      <c r="E2932">
        <v>33.159999999999997</v>
      </c>
      <c r="F2932">
        <v>5</v>
      </c>
      <c r="G2932">
        <v>100</v>
      </c>
    </row>
    <row r="2933" spans="1:7" ht="14" x14ac:dyDescent="0.3">
      <c r="A2933" t="s">
        <v>2961</v>
      </c>
      <c r="B2933" t="s">
        <v>8</v>
      </c>
      <c r="C2933">
        <v>1</v>
      </c>
      <c r="D2933">
        <v>1</v>
      </c>
      <c r="E2933">
        <v>31.92</v>
      </c>
      <c r="F2933">
        <v>5</v>
      </c>
      <c r="G2933">
        <v>100</v>
      </c>
    </row>
    <row r="2934" spans="1:7" ht="14" x14ac:dyDescent="0.3">
      <c r="A2934" t="s">
        <v>2962</v>
      </c>
      <c r="B2934" t="s">
        <v>87</v>
      </c>
      <c r="C2934">
        <v>1</v>
      </c>
      <c r="D2934">
        <v>1</v>
      </c>
      <c r="E2934">
        <v>31.82</v>
      </c>
      <c r="F2934">
        <v>5</v>
      </c>
      <c r="G2934">
        <v>100</v>
      </c>
    </row>
    <row r="2935" spans="1:7" ht="14" x14ac:dyDescent="0.3">
      <c r="A2935" t="s">
        <v>2963</v>
      </c>
      <c r="B2935" t="s">
        <v>8</v>
      </c>
      <c r="C2935">
        <v>1</v>
      </c>
      <c r="D2935">
        <v>1</v>
      </c>
      <c r="E2935">
        <v>31.71</v>
      </c>
      <c r="F2935">
        <v>1</v>
      </c>
      <c r="G2935">
        <v>0</v>
      </c>
    </row>
    <row r="2936" spans="1:7" ht="14" x14ac:dyDescent="0.3">
      <c r="A2936" t="s">
        <v>2964</v>
      </c>
      <c r="B2936" t="s">
        <v>8</v>
      </c>
      <c r="C2936">
        <v>1</v>
      </c>
      <c r="D2936">
        <v>1</v>
      </c>
      <c r="E2936">
        <v>31.69</v>
      </c>
      <c r="F2936">
        <v>5</v>
      </c>
      <c r="G2936">
        <v>100</v>
      </c>
    </row>
    <row r="2937" spans="1:7" ht="14" x14ac:dyDescent="0.3">
      <c r="A2937" t="s">
        <v>2965</v>
      </c>
      <c r="B2937" t="s">
        <v>8</v>
      </c>
      <c r="C2937">
        <v>1</v>
      </c>
      <c r="D2937">
        <v>1</v>
      </c>
      <c r="E2937">
        <v>31.69</v>
      </c>
      <c r="F2937">
        <v>5</v>
      </c>
      <c r="G2937">
        <v>100</v>
      </c>
    </row>
    <row r="2938" spans="1:7" ht="14" x14ac:dyDescent="0.3">
      <c r="A2938" t="s">
        <v>2966</v>
      </c>
      <c r="B2938" t="s">
        <v>8</v>
      </c>
      <c r="C2938">
        <v>1</v>
      </c>
      <c r="D2938">
        <v>1</v>
      </c>
      <c r="E2938">
        <v>31.18</v>
      </c>
      <c r="F2938">
        <v>5</v>
      </c>
      <c r="G2938">
        <v>100</v>
      </c>
    </row>
    <row r="2939" spans="1:7" ht="14" x14ac:dyDescent="0.3">
      <c r="A2939" t="s">
        <v>2967</v>
      </c>
      <c r="B2939" t="s">
        <v>32</v>
      </c>
      <c r="C2939">
        <v>1</v>
      </c>
      <c r="D2939">
        <v>1</v>
      </c>
      <c r="E2939">
        <v>31</v>
      </c>
      <c r="F2939">
        <v>5</v>
      </c>
      <c r="G2939">
        <v>100</v>
      </c>
    </row>
    <row r="2940" spans="1:7" ht="14" x14ac:dyDescent="0.3">
      <c r="A2940" t="s">
        <v>2968</v>
      </c>
      <c r="B2940" t="s">
        <v>24</v>
      </c>
      <c r="C2940">
        <v>1</v>
      </c>
      <c r="D2940">
        <v>1</v>
      </c>
      <c r="E2940">
        <v>30.86</v>
      </c>
      <c r="F2940">
        <v>5</v>
      </c>
      <c r="G2940">
        <v>100</v>
      </c>
    </row>
    <row r="2941" spans="1:7" ht="14" x14ac:dyDescent="0.3">
      <c r="A2941" t="s">
        <v>2969</v>
      </c>
      <c r="B2941" t="s">
        <v>8</v>
      </c>
      <c r="C2941">
        <v>1</v>
      </c>
      <c r="D2941">
        <v>1</v>
      </c>
      <c r="E2941">
        <v>30.82</v>
      </c>
      <c r="F2941">
        <v>2</v>
      </c>
      <c r="G2941">
        <v>0</v>
      </c>
    </row>
    <row r="2942" spans="1:7" ht="14" x14ac:dyDescent="0.3">
      <c r="A2942" t="s">
        <v>2970</v>
      </c>
      <c r="B2942" t="s">
        <v>8</v>
      </c>
      <c r="C2942">
        <v>1</v>
      </c>
      <c r="D2942">
        <v>1</v>
      </c>
      <c r="E2942">
        <v>30.32</v>
      </c>
      <c r="F2942">
        <v>5</v>
      </c>
      <c r="G2942">
        <v>100</v>
      </c>
    </row>
    <row r="2943" spans="1:7" ht="14" x14ac:dyDescent="0.3">
      <c r="A2943" t="s">
        <v>2971</v>
      </c>
      <c r="B2943" t="s">
        <v>8</v>
      </c>
      <c r="C2943">
        <v>1</v>
      </c>
      <c r="D2943">
        <v>1</v>
      </c>
      <c r="E2943">
        <v>30.22</v>
      </c>
      <c r="F2943">
        <v>5</v>
      </c>
      <c r="G2943">
        <v>100</v>
      </c>
    </row>
    <row r="2944" spans="1:7" ht="14" x14ac:dyDescent="0.3">
      <c r="A2944" t="s">
        <v>2972</v>
      </c>
      <c r="B2944" t="s">
        <v>8</v>
      </c>
      <c r="C2944">
        <v>1</v>
      </c>
      <c r="D2944">
        <v>1</v>
      </c>
      <c r="E2944">
        <v>30.13</v>
      </c>
      <c r="F2944">
        <v>5</v>
      </c>
      <c r="G2944">
        <v>100</v>
      </c>
    </row>
    <row r="2945" spans="1:7" ht="14" x14ac:dyDescent="0.3">
      <c r="A2945" t="s">
        <v>2973</v>
      </c>
      <c r="B2945" t="s">
        <v>8</v>
      </c>
      <c r="C2945">
        <v>1</v>
      </c>
      <c r="D2945">
        <v>1</v>
      </c>
      <c r="E2945">
        <v>29.42</v>
      </c>
      <c r="F2945" t="s">
        <v>519</v>
      </c>
      <c r="G2945">
        <v>0</v>
      </c>
    </row>
    <row r="2946" spans="1:7" ht="14" x14ac:dyDescent="0.3">
      <c r="A2946" t="s">
        <v>2974</v>
      </c>
      <c r="B2946" t="s">
        <v>8</v>
      </c>
      <c r="C2946">
        <v>1</v>
      </c>
      <c r="D2946">
        <v>1</v>
      </c>
      <c r="E2946">
        <v>29.2</v>
      </c>
      <c r="F2946">
        <v>5</v>
      </c>
      <c r="G2946">
        <v>100</v>
      </c>
    </row>
    <row r="2947" spans="1:7" ht="14" x14ac:dyDescent="0.3">
      <c r="A2947" t="s">
        <v>2975</v>
      </c>
      <c r="B2947" t="s">
        <v>8</v>
      </c>
      <c r="C2947">
        <v>1</v>
      </c>
      <c r="D2947">
        <v>1</v>
      </c>
      <c r="E2947">
        <v>28.29</v>
      </c>
      <c r="F2947">
        <v>5</v>
      </c>
      <c r="G2947">
        <v>100</v>
      </c>
    </row>
    <row r="2948" spans="1:7" ht="14" x14ac:dyDescent="0.3">
      <c r="A2948" t="s">
        <v>2976</v>
      </c>
      <c r="B2948" t="s">
        <v>8</v>
      </c>
      <c r="C2948">
        <v>1</v>
      </c>
      <c r="D2948">
        <v>1</v>
      </c>
      <c r="E2948">
        <v>28.29</v>
      </c>
      <c r="F2948">
        <v>5</v>
      </c>
      <c r="G2948">
        <v>100</v>
      </c>
    </row>
    <row r="2949" spans="1:7" ht="14" x14ac:dyDescent="0.3">
      <c r="A2949" t="s">
        <v>2977</v>
      </c>
      <c r="B2949" t="s">
        <v>32</v>
      </c>
      <c r="C2949">
        <v>1</v>
      </c>
      <c r="D2949">
        <v>1</v>
      </c>
      <c r="E2949">
        <v>28.22</v>
      </c>
      <c r="F2949">
        <v>5</v>
      </c>
      <c r="G2949">
        <v>100</v>
      </c>
    </row>
    <row r="2950" spans="1:7" ht="14" x14ac:dyDescent="0.3">
      <c r="A2950" t="s">
        <v>2978</v>
      </c>
      <c r="B2950" t="s">
        <v>32</v>
      </c>
      <c r="C2950">
        <v>1</v>
      </c>
      <c r="D2950">
        <v>1</v>
      </c>
      <c r="E2950">
        <v>28.01</v>
      </c>
      <c r="F2950">
        <v>5</v>
      </c>
      <c r="G2950">
        <v>100</v>
      </c>
    </row>
    <row r="2951" spans="1:7" ht="14" x14ac:dyDescent="0.3">
      <c r="A2951" t="s">
        <v>2979</v>
      </c>
      <c r="B2951" t="s">
        <v>8</v>
      </c>
      <c r="C2951">
        <v>1</v>
      </c>
      <c r="D2951">
        <v>1</v>
      </c>
      <c r="E2951">
        <v>27.86</v>
      </c>
      <c r="F2951">
        <v>5</v>
      </c>
      <c r="G2951">
        <v>100</v>
      </c>
    </row>
    <row r="2952" spans="1:7" ht="14" x14ac:dyDescent="0.3">
      <c r="A2952" t="s">
        <v>2980</v>
      </c>
      <c r="B2952" t="s">
        <v>42</v>
      </c>
      <c r="C2952">
        <v>1</v>
      </c>
      <c r="D2952">
        <v>1</v>
      </c>
      <c r="E2952">
        <v>27.69</v>
      </c>
      <c r="F2952">
        <v>2</v>
      </c>
      <c r="G2952">
        <v>100</v>
      </c>
    </row>
    <row r="2953" spans="1:7" ht="14" x14ac:dyDescent="0.3">
      <c r="A2953" t="s">
        <v>2981</v>
      </c>
      <c r="B2953" t="s">
        <v>8</v>
      </c>
      <c r="C2953">
        <v>1</v>
      </c>
      <c r="D2953">
        <v>1</v>
      </c>
      <c r="E2953">
        <v>27.64</v>
      </c>
      <c r="F2953">
        <v>1</v>
      </c>
      <c r="G2953">
        <v>100</v>
      </c>
    </row>
    <row r="2954" spans="1:7" ht="14" x14ac:dyDescent="0.3">
      <c r="A2954" t="s">
        <v>2982</v>
      </c>
      <c r="B2954" t="s">
        <v>42</v>
      </c>
      <c r="C2954">
        <v>1</v>
      </c>
      <c r="D2954">
        <v>1</v>
      </c>
      <c r="E2954">
        <v>27.59</v>
      </c>
      <c r="F2954">
        <v>5</v>
      </c>
      <c r="G2954">
        <v>100</v>
      </c>
    </row>
    <row r="2955" spans="1:7" ht="14" x14ac:dyDescent="0.3">
      <c r="A2955" s="1" t="s">
        <v>2983</v>
      </c>
      <c r="B2955" t="s">
        <v>8</v>
      </c>
      <c r="C2955">
        <v>1</v>
      </c>
      <c r="D2955">
        <v>1</v>
      </c>
      <c r="E2955">
        <v>27.02</v>
      </c>
      <c r="F2955">
        <v>4</v>
      </c>
      <c r="G2955">
        <v>100</v>
      </c>
    </row>
    <row r="2956" spans="1:7" ht="14" x14ac:dyDescent="0.3">
      <c r="A2956" t="s">
        <v>2984</v>
      </c>
      <c r="B2956" t="s">
        <v>8</v>
      </c>
      <c r="C2956">
        <v>1</v>
      </c>
      <c r="D2956">
        <v>1</v>
      </c>
      <c r="E2956">
        <v>27.01</v>
      </c>
      <c r="F2956">
        <v>5</v>
      </c>
      <c r="G2956">
        <v>100</v>
      </c>
    </row>
    <row r="2957" spans="1:7" ht="14" x14ac:dyDescent="0.3">
      <c r="A2957" t="s">
        <v>2985</v>
      </c>
      <c r="B2957" t="s">
        <v>24</v>
      </c>
      <c r="C2957">
        <v>1</v>
      </c>
      <c r="D2957">
        <v>1</v>
      </c>
      <c r="E2957">
        <v>26.98</v>
      </c>
      <c r="F2957">
        <v>1</v>
      </c>
      <c r="G2957">
        <v>0</v>
      </c>
    </row>
    <row r="2958" spans="1:7" ht="14" x14ac:dyDescent="0.3">
      <c r="A2958" t="s">
        <v>2986</v>
      </c>
      <c r="B2958" t="s">
        <v>8</v>
      </c>
      <c r="C2958">
        <v>1</v>
      </c>
      <c r="D2958">
        <v>1</v>
      </c>
      <c r="E2958">
        <v>25.69</v>
      </c>
      <c r="F2958">
        <v>1</v>
      </c>
      <c r="G2958">
        <v>100</v>
      </c>
    </row>
    <row r="2959" spans="1:7" ht="14" x14ac:dyDescent="0.3">
      <c r="A2959" t="s">
        <v>2987</v>
      </c>
      <c r="B2959" t="s">
        <v>8</v>
      </c>
      <c r="C2959">
        <v>1</v>
      </c>
      <c r="D2959">
        <v>1</v>
      </c>
      <c r="E2959">
        <v>24.96</v>
      </c>
      <c r="F2959">
        <v>3</v>
      </c>
      <c r="G2959">
        <v>100</v>
      </c>
    </row>
    <row r="2960" spans="1:7" ht="14" x14ac:dyDescent="0.3">
      <c r="A2960" t="s">
        <v>2988</v>
      </c>
      <c r="B2960" t="s">
        <v>22</v>
      </c>
      <c r="C2960">
        <v>1</v>
      </c>
      <c r="D2960">
        <v>1</v>
      </c>
      <c r="E2960">
        <v>24</v>
      </c>
      <c r="F2960">
        <v>5</v>
      </c>
      <c r="G2960">
        <v>100</v>
      </c>
    </row>
    <row r="2961" spans="1:7" ht="14" x14ac:dyDescent="0.3">
      <c r="A2961" t="s">
        <v>2989</v>
      </c>
      <c r="B2961" t="s">
        <v>8</v>
      </c>
      <c r="C2961">
        <v>1</v>
      </c>
      <c r="D2961">
        <v>1</v>
      </c>
      <c r="E2961">
        <v>23.46</v>
      </c>
      <c r="F2961">
        <v>5</v>
      </c>
      <c r="G2961">
        <v>100</v>
      </c>
    </row>
    <row r="2962" spans="1:7" ht="14" x14ac:dyDescent="0.3">
      <c r="A2962" t="s">
        <v>2990</v>
      </c>
      <c r="B2962" t="s">
        <v>8</v>
      </c>
      <c r="C2962">
        <v>1</v>
      </c>
      <c r="D2962">
        <v>1</v>
      </c>
      <c r="E2962">
        <v>21.28</v>
      </c>
      <c r="F2962">
        <v>4</v>
      </c>
      <c r="G2962">
        <v>100</v>
      </c>
    </row>
    <row r="2963" spans="1:7" ht="14" x14ac:dyDescent="0.3">
      <c r="A2963" t="s">
        <v>2991</v>
      </c>
      <c r="B2963" t="s">
        <v>8</v>
      </c>
      <c r="C2963">
        <v>1</v>
      </c>
      <c r="D2963">
        <v>1</v>
      </c>
      <c r="E2963">
        <v>20.190000000000001</v>
      </c>
      <c r="F2963">
        <v>1</v>
      </c>
      <c r="G2963">
        <v>100</v>
      </c>
    </row>
    <row r="2964" spans="1:7" ht="14" x14ac:dyDescent="0.3">
      <c r="A2964" t="s">
        <v>2992</v>
      </c>
      <c r="B2964" t="s">
        <v>8</v>
      </c>
      <c r="C2964">
        <v>1</v>
      </c>
      <c r="D2964">
        <v>1</v>
      </c>
      <c r="E2964">
        <v>19.89</v>
      </c>
      <c r="F2964">
        <v>1</v>
      </c>
      <c r="G2964">
        <v>100</v>
      </c>
    </row>
    <row r="2965" spans="1:7" ht="14" x14ac:dyDescent="0.3">
      <c r="A2965" t="s">
        <v>2993</v>
      </c>
      <c r="B2965" t="s">
        <v>8</v>
      </c>
      <c r="C2965">
        <v>1</v>
      </c>
      <c r="D2965">
        <v>1</v>
      </c>
      <c r="E2965">
        <v>19.739999999999998</v>
      </c>
      <c r="F2965">
        <v>1</v>
      </c>
      <c r="G2965">
        <v>100</v>
      </c>
    </row>
    <row r="2966" spans="1:7" ht="14" x14ac:dyDescent="0.3">
      <c r="A2966" t="s">
        <v>2994</v>
      </c>
      <c r="B2966" t="s">
        <v>8</v>
      </c>
      <c r="C2966">
        <v>1</v>
      </c>
      <c r="D2966">
        <v>1</v>
      </c>
      <c r="E2966">
        <v>19.29</v>
      </c>
      <c r="F2966">
        <v>5</v>
      </c>
      <c r="G2966">
        <v>100</v>
      </c>
    </row>
    <row r="2967" spans="1:7" ht="14" x14ac:dyDescent="0.3">
      <c r="A2967" t="s">
        <v>2995</v>
      </c>
      <c r="B2967" t="s">
        <v>42</v>
      </c>
      <c r="C2967">
        <v>1</v>
      </c>
      <c r="D2967">
        <v>1</v>
      </c>
      <c r="E2967">
        <v>19.21</v>
      </c>
      <c r="F2967">
        <v>5</v>
      </c>
      <c r="G2967">
        <v>100</v>
      </c>
    </row>
    <row r="2968" spans="1:7" ht="14" x14ac:dyDescent="0.3">
      <c r="A2968" t="s">
        <v>2996</v>
      </c>
      <c r="B2968" t="s">
        <v>24</v>
      </c>
      <c r="C2968">
        <v>1</v>
      </c>
      <c r="D2968">
        <v>1</v>
      </c>
      <c r="E2968">
        <v>18.559999999999999</v>
      </c>
      <c r="F2968">
        <v>5</v>
      </c>
      <c r="G2968">
        <v>100</v>
      </c>
    </row>
    <row r="2969" spans="1:7" ht="14" x14ac:dyDescent="0.3">
      <c r="A2969" t="s">
        <v>2997</v>
      </c>
      <c r="B2969" t="s">
        <v>8</v>
      </c>
      <c r="C2969">
        <v>1</v>
      </c>
      <c r="D2969">
        <v>1</v>
      </c>
      <c r="E2969">
        <v>16.36</v>
      </c>
      <c r="F2969">
        <v>5</v>
      </c>
      <c r="G2969">
        <v>100</v>
      </c>
    </row>
    <row r="2970" spans="1:7" ht="14" x14ac:dyDescent="0.3">
      <c r="A2970" t="s">
        <v>2998</v>
      </c>
      <c r="B2970" t="s">
        <v>8</v>
      </c>
      <c r="C2970">
        <v>1</v>
      </c>
      <c r="D2970">
        <v>1</v>
      </c>
      <c r="E2970">
        <v>15.9</v>
      </c>
      <c r="F2970">
        <v>1</v>
      </c>
      <c r="G2970">
        <v>100</v>
      </c>
    </row>
    <row r="2971" spans="1:7" ht="14" x14ac:dyDescent="0.3">
      <c r="A2971" t="s">
        <v>2999</v>
      </c>
      <c r="B2971" t="s">
        <v>8</v>
      </c>
      <c r="C2971">
        <v>1</v>
      </c>
      <c r="D2971">
        <v>1</v>
      </c>
      <c r="E2971">
        <v>15.22</v>
      </c>
      <c r="F2971">
        <v>5</v>
      </c>
      <c r="G2971">
        <v>100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8880C-ABA4-4BE1-BC6B-4AA05267572F}">
  <sheetPr>
    <tabColor theme="9" tint="0.79998168889431442"/>
  </sheetPr>
  <dimension ref="A1:J27"/>
  <sheetViews>
    <sheetView workbookViewId="0">
      <selection activeCell="E2" sqref="E2:E5"/>
    </sheetView>
  </sheetViews>
  <sheetFormatPr defaultRowHeight="14.5" x14ac:dyDescent="0.3"/>
  <cols>
    <col min="1" max="1" width="9.4140625" customWidth="1"/>
    <col min="2" max="2" width="18.75" bestFit="1" customWidth="1"/>
    <col min="5" max="5" width="9.4140625" bestFit="1" customWidth="1"/>
    <col min="6" max="6" width="8.08203125" bestFit="1" customWidth="1"/>
  </cols>
  <sheetData>
    <row r="1" spans="1:10" x14ac:dyDescent="0.3">
      <c r="A1" s="7" t="s">
        <v>3024</v>
      </c>
      <c r="B1" s="8" t="s">
        <v>3025</v>
      </c>
      <c r="E1" s="9" t="s">
        <v>3057</v>
      </c>
      <c r="F1" s="9" t="s">
        <v>3058</v>
      </c>
    </row>
    <row r="2" spans="1:10" x14ac:dyDescent="0.3">
      <c r="A2" s="7" t="s">
        <v>3027</v>
      </c>
      <c r="B2" s="8" t="s">
        <v>3032</v>
      </c>
      <c r="E2" s="8">
        <v>0</v>
      </c>
      <c r="F2" s="8" t="s">
        <v>3059</v>
      </c>
    </row>
    <row r="3" spans="1:10" x14ac:dyDescent="0.3">
      <c r="A3" s="7" t="s">
        <v>1394</v>
      </c>
      <c r="B3" s="8" t="s">
        <v>3033</v>
      </c>
      <c r="E3" s="8">
        <v>25000</v>
      </c>
      <c r="F3" s="8" t="s">
        <v>3060</v>
      </c>
    </row>
    <row r="4" spans="1:10" x14ac:dyDescent="0.3">
      <c r="A4" s="7" t="s">
        <v>3029</v>
      </c>
      <c r="B4" s="8" t="s">
        <v>3034</v>
      </c>
      <c r="E4" s="8">
        <v>75000</v>
      </c>
      <c r="F4" s="8" t="s">
        <v>3061</v>
      </c>
    </row>
    <row r="5" spans="1:10" x14ac:dyDescent="0.3">
      <c r="A5" s="7" t="s">
        <v>12</v>
      </c>
      <c r="B5" s="8" t="s">
        <v>3035</v>
      </c>
      <c r="E5" s="8">
        <v>150000</v>
      </c>
      <c r="F5" s="8" t="s">
        <v>3062</v>
      </c>
    </row>
    <row r="6" spans="1:10" x14ac:dyDescent="0.3">
      <c r="A6" s="7" t="s">
        <v>418</v>
      </c>
      <c r="B6" s="8" t="s">
        <v>3036</v>
      </c>
    </row>
    <row r="7" spans="1:10" x14ac:dyDescent="0.3">
      <c r="A7" s="7" t="s">
        <v>152</v>
      </c>
      <c r="B7" s="8" t="s">
        <v>3037</v>
      </c>
    </row>
    <row r="8" spans="1:10" x14ac:dyDescent="0.3">
      <c r="A8" s="7" t="s">
        <v>101</v>
      </c>
      <c r="B8" s="8" t="s">
        <v>3038</v>
      </c>
      <c r="J8" s="4"/>
    </row>
    <row r="9" spans="1:10" x14ac:dyDescent="0.3">
      <c r="A9" s="7" t="s">
        <v>309</v>
      </c>
      <c r="B9" s="8" t="s">
        <v>3039</v>
      </c>
    </row>
    <row r="10" spans="1:10" x14ac:dyDescent="0.3">
      <c r="A10" s="7" t="s">
        <v>67</v>
      </c>
      <c r="B10" s="8" t="s">
        <v>3040</v>
      </c>
    </row>
    <row r="11" spans="1:10" x14ac:dyDescent="0.3">
      <c r="A11" s="7" t="s">
        <v>24</v>
      </c>
      <c r="B11" s="8" t="s">
        <v>3041</v>
      </c>
    </row>
    <row r="12" spans="1:10" x14ac:dyDescent="0.3">
      <c r="A12" s="7" t="s">
        <v>777</v>
      </c>
      <c r="B12" s="8" t="s">
        <v>3042</v>
      </c>
    </row>
    <row r="13" spans="1:10" x14ac:dyDescent="0.3">
      <c r="A13" s="7" t="s">
        <v>368</v>
      </c>
      <c r="B13" s="8" t="s">
        <v>3043</v>
      </c>
    </row>
    <row r="14" spans="1:10" x14ac:dyDescent="0.3">
      <c r="A14" s="7" t="s">
        <v>1335</v>
      </c>
      <c r="B14" s="8" t="s">
        <v>3044</v>
      </c>
    </row>
    <row r="15" spans="1:10" x14ac:dyDescent="0.3">
      <c r="A15" s="7" t="s">
        <v>241</v>
      </c>
      <c r="B15" s="8" t="s">
        <v>3045</v>
      </c>
    </row>
    <row r="16" spans="1:10" x14ac:dyDescent="0.3">
      <c r="A16" s="7" t="s">
        <v>38</v>
      </c>
      <c r="B16" s="8" t="s">
        <v>3046</v>
      </c>
    </row>
    <row r="17" spans="1:2" x14ac:dyDescent="0.3">
      <c r="A17" s="7" t="s">
        <v>947</v>
      </c>
      <c r="B17" s="8" t="s">
        <v>3047</v>
      </c>
    </row>
    <row r="18" spans="1:2" x14ac:dyDescent="0.3">
      <c r="A18" s="7" t="s">
        <v>32</v>
      </c>
      <c r="B18" s="8" t="s">
        <v>3048</v>
      </c>
    </row>
    <row r="19" spans="1:2" x14ac:dyDescent="0.3">
      <c r="A19" s="7" t="s">
        <v>22</v>
      </c>
      <c r="B19" s="8" t="s">
        <v>3049</v>
      </c>
    </row>
    <row r="20" spans="1:2" x14ac:dyDescent="0.3">
      <c r="A20" s="7" t="s">
        <v>548</v>
      </c>
      <c r="B20" s="8" t="s">
        <v>3050</v>
      </c>
    </row>
    <row r="21" spans="1:2" x14ac:dyDescent="0.3">
      <c r="A21" s="7" t="s">
        <v>800</v>
      </c>
      <c r="B21" s="8" t="s">
        <v>3051</v>
      </c>
    </row>
    <row r="22" spans="1:2" x14ac:dyDescent="0.3">
      <c r="A22" s="7" t="s">
        <v>3030</v>
      </c>
      <c r="B22" s="8" t="s">
        <v>3052</v>
      </c>
    </row>
    <row r="23" spans="1:2" x14ac:dyDescent="0.3">
      <c r="A23" s="7" t="s">
        <v>87</v>
      </c>
      <c r="B23" s="8" t="s">
        <v>3053</v>
      </c>
    </row>
    <row r="24" spans="1:2" x14ac:dyDescent="0.3">
      <c r="A24" s="7" t="s">
        <v>42</v>
      </c>
      <c r="B24" s="8" t="s">
        <v>3054</v>
      </c>
    </row>
    <row r="25" spans="1:2" x14ac:dyDescent="0.3">
      <c r="A25" s="7" t="s">
        <v>1413</v>
      </c>
      <c r="B25" s="8" t="s">
        <v>3055</v>
      </c>
    </row>
    <row r="26" spans="1:2" x14ac:dyDescent="0.3">
      <c r="A26" s="7" t="s">
        <v>8</v>
      </c>
      <c r="B26" s="8" t="s">
        <v>3056</v>
      </c>
    </row>
    <row r="27" spans="1:2" x14ac:dyDescent="0.3">
      <c r="A27" s="7" t="s">
        <v>3028</v>
      </c>
      <c r="B27" s="7" t="s">
        <v>3031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4752B-FF9A-4D4C-9557-B795DFCAEFA9}">
  <sheetPr>
    <tabColor theme="9" tint="0.79998168889431442"/>
  </sheetPr>
  <dimension ref="A1:C24"/>
  <sheetViews>
    <sheetView workbookViewId="0">
      <selection activeCell="H11" sqref="H11"/>
    </sheetView>
  </sheetViews>
  <sheetFormatPr defaultRowHeight="14" x14ac:dyDescent="0.3"/>
  <cols>
    <col min="1" max="1" width="10.9140625" bestFit="1" customWidth="1"/>
    <col min="2" max="2" width="6.4140625" bestFit="1" customWidth="1"/>
    <col min="3" max="3" width="15.25" bestFit="1" customWidth="1"/>
  </cols>
  <sheetData>
    <row r="1" spans="1:3" x14ac:dyDescent="0.3">
      <c r="A1" s="5" t="s">
        <v>3000</v>
      </c>
      <c r="B1" s="5" t="s">
        <v>2</v>
      </c>
      <c r="C1" s="5" t="s">
        <v>4</v>
      </c>
    </row>
    <row r="2" spans="1:3" x14ac:dyDescent="0.3">
      <c r="A2" s="5" t="s">
        <v>3001</v>
      </c>
      <c r="B2" s="5">
        <v>1</v>
      </c>
      <c r="C2" s="10">
        <v>143</v>
      </c>
    </row>
    <row r="3" spans="1:3" x14ac:dyDescent="0.3">
      <c r="A3" s="5" t="s">
        <v>3002</v>
      </c>
      <c r="B3" s="5">
        <v>265</v>
      </c>
      <c r="C3" s="10">
        <v>46491</v>
      </c>
    </row>
    <row r="4" spans="1:3" x14ac:dyDescent="0.3">
      <c r="A4" s="5" t="s">
        <v>3003</v>
      </c>
      <c r="B4" s="5">
        <v>1</v>
      </c>
      <c r="C4" s="10">
        <v>20</v>
      </c>
    </row>
    <row r="5" spans="1:3" x14ac:dyDescent="0.3">
      <c r="A5" s="5" t="s">
        <v>3004</v>
      </c>
      <c r="B5" s="5">
        <v>750</v>
      </c>
      <c r="C5" s="10">
        <v>127482</v>
      </c>
    </row>
    <row r="6" spans="1:3" x14ac:dyDescent="0.3">
      <c r="A6" s="5" t="s">
        <v>3005</v>
      </c>
      <c r="B6" s="5">
        <v>1653</v>
      </c>
      <c r="C6" s="10">
        <v>271239</v>
      </c>
    </row>
    <row r="7" spans="1:3" x14ac:dyDescent="0.3">
      <c r="A7" s="5" t="s">
        <v>3006</v>
      </c>
      <c r="B7" s="5">
        <v>2546</v>
      </c>
      <c r="C7" s="10">
        <v>414331</v>
      </c>
    </row>
    <row r="8" spans="1:3" x14ac:dyDescent="0.3">
      <c r="A8" s="5" t="s">
        <v>3007</v>
      </c>
      <c r="B8" s="5">
        <v>2303</v>
      </c>
      <c r="C8" s="10">
        <v>390812</v>
      </c>
    </row>
    <row r="9" spans="1:3" x14ac:dyDescent="0.3">
      <c r="A9" s="5" t="s">
        <v>3008</v>
      </c>
      <c r="B9" s="5">
        <v>3546</v>
      </c>
      <c r="C9" s="10">
        <v>566851</v>
      </c>
    </row>
    <row r="10" spans="1:3" x14ac:dyDescent="0.3">
      <c r="A10" s="5" t="s">
        <v>3009</v>
      </c>
      <c r="B10" s="5">
        <v>3135</v>
      </c>
      <c r="C10" s="10">
        <v>490050</v>
      </c>
    </row>
    <row r="11" spans="1:3" x14ac:dyDescent="0.3">
      <c r="A11" s="5" t="s">
        <v>3010</v>
      </c>
      <c r="B11" s="5">
        <v>3872</v>
      </c>
      <c r="C11" s="10">
        <v>566299</v>
      </c>
    </row>
    <row r="12" spans="1:3" x14ac:dyDescent="0.3">
      <c r="A12" s="5" t="s">
        <v>3011</v>
      </c>
      <c r="B12" s="5">
        <v>4193</v>
      </c>
      <c r="C12" s="10">
        <v>645832</v>
      </c>
    </row>
    <row r="13" spans="1:3" x14ac:dyDescent="0.3">
      <c r="A13" s="5" t="s">
        <v>3012</v>
      </c>
      <c r="B13" s="5">
        <v>4150</v>
      </c>
      <c r="C13" s="10">
        <v>701077</v>
      </c>
    </row>
    <row r="14" spans="1:3" x14ac:dyDescent="0.3">
      <c r="A14" s="5" t="s">
        <v>3013</v>
      </c>
      <c r="B14" s="5">
        <v>4478</v>
      </c>
      <c r="C14" s="10">
        <v>751117</v>
      </c>
    </row>
    <row r="15" spans="1:3" x14ac:dyDescent="0.3">
      <c r="A15" s="5" t="s">
        <v>3014</v>
      </c>
      <c r="B15" s="5">
        <v>7289</v>
      </c>
      <c r="C15" s="10">
        <v>1153364</v>
      </c>
    </row>
    <row r="16" spans="1:3" x14ac:dyDescent="0.3">
      <c r="A16" s="5" t="s">
        <v>3015</v>
      </c>
      <c r="B16" s="5">
        <v>5513</v>
      </c>
      <c r="C16" s="10">
        <v>843078</v>
      </c>
    </row>
    <row r="17" spans="1:3" x14ac:dyDescent="0.3">
      <c r="A17" s="5" t="s">
        <v>3016</v>
      </c>
      <c r="B17" s="5">
        <v>7069</v>
      </c>
      <c r="C17" s="10">
        <v>1077887</v>
      </c>
    </row>
    <row r="18" spans="1:3" x14ac:dyDescent="0.3">
      <c r="A18" s="5" t="s">
        <v>3017</v>
      </c>
      <c r="B18" s="5">
        <v>6555</v>
      </c>
      <c r="C18" s="10">
        <v>966168</v>
      </c>
    </row>
    <row r="19" spans="1:3" x14ac:dyDescent="0.3">
      <c r="A19" s="5" t="s">
        <v>3018</v>
      </c>
      <c r="B19" s="5">
        <v>7003</v>
      </c>
      <c r="C19" s="10">
        <v>1120598</v>
      </c>
    </row>
    <row r="20" spans="1:3" x14ac:dyDescent="0.3">
      <c r="A20" s="5" t="s">
        <v>3019</v>
      </c>
      <c r="B20" s="5">
        <v>6798</v>
      </c>
      <c r="C20" s="10">
        <v>1132879</v>
      </c>
    </row>
    <row r="21" spans="1:3" x14ac:dyDescent="0.3">
      <c r="A21" s="5" t="s">
        <v>3020</v>
      </c>
      <c r="B21" s="5">
        <v>6749</v>
      </c>
      <c r="C21" s="10">
        <v>1128775</v>
      </c>
    </row>
    <row r="22" spans="1:3" x14ac:dyDescent="0.3">
      <c r="A22" s="5" t="s">
        <v>3021</v>
      </c>
      <c r="B22" s="5">
        <v>6099</v>
      </c>
      <c r="C22" s="10">
        <v>1011978</v>
      </c>
    </row>
    <row r="23" spans="1:3" x14ac:dyDescent="0.3">
      <c r="A23" s="5" t="s">
        <v>3022</v>
      </c>
      <c r="B23" s="5">
        <v>6159</v>
      </c>
      <c r="C23" s="10">
        <v>1027807</v>
      </c>
    </row>
    <row r="24" spans="1:3" x14ac:dyDescent="0.3">
      <c r="A24" s="5" t="s">
        <v>3023</v>
      </c>
      <c r="B24" s="5">
        <v>6351</v>
      </c>
      <c r="C24" s="10">
        <v>985492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65073-E0A5-403D-9746-0F0A9389DB0D}">
  <sheetPr>
    <tabColor theme="9" tint="0.79998168889431442"/>
  </sheetPr>
  <dimension ref="A1:G28"/>
  <sheetViews>
    <sheetView workbookViewId="0"/>
  </sheetViews>
  <sheetFormatPr defaultRowHeight="14.5" x14ac:dyDescent="0.3"/>
  <cols>
    <col min="1" max="1" width="13.58203125" customWidth="1"/>
    <col min="2" max="2" width="5.75" customWidth="1"/>
    <col min="3" max="4" width="7.75" customWidth="1"/>
    <col min="6" max="6" width="12.4140625" customWidth="1"/>
    <col min="7" max="7" width="7.75" customWidth="1"/>
  </cols>
  <sheetData>
    <row r="1" spans="1:7" ht="14" x14ac:dyDescent="0.3">
      <c r="A1" s="5" t="s">
        <v>3026</v>
      </c>
      <c r="B1" s="5">
        <v>2016</v>
      </c>
      <c r="C1" s="5">
        <v>2017</v>
      </c>
      <c r="D1" s="5">
        <v>2018</v>
      </c>
    </row>
    <row r="2" spans="1:7" ht="14" x14ac:dyDescent="0.3">
      <c r="A2" s="5" t="s">
        <v>8</v>
      </c>
      <c r="B2" s="5">
        <v>13703</v>
      </c>
      <c r="C2" s="5">
        <v>2428003</v>
      </c>
      <c r="D2" s="5">
        <v>3327997</v>
      </c>
      <c r="F2" s="5" t="s">
        <v>3072</v>
      </c>
      <c r="G2" s="5">
        <v>2017</v>
      </c>
    </row>
    <row r="3" spans="1:7" ht="14" x14ac:dyDescent="0.3">
      <c r="A3" s="5" t="s">
        <v>22</v>
      </c>
      <c r="B3" s="5">
        <v>9044</v>
      </c>
      <c r="C3" s="5">
        <v>1012943</v>
      </c>
      <c r="D3" s="5">
        <v>1033415</v>
      </c>
      <c r="F3" s="5" t="s">
        <v>3065</v>
      </c>
      <c r="G3" s="5" t="s">
        <v>8</v>
      </c>
    </row>
    <row r="4" spans="1:7" ht="14" x14ac:dyDescent="0.3">
      <c r="A4" s="5" t="s">
        <v>24</v>
      </c>
      <c r="B4" s="5">
        <v>4937</v>
      </c>
      <c r="C4" s="5">
        <v>825061</v>
      </c>
      <c r="D4" s="5">
        <v>988893</v>
      </c>
      <c r="F4" s="5" t="s">
        <v>3073</v>
      </c>
      <c r="G4" s="5">
        <f>HLOOKUP($G$2,$A$1:$D$28,MATCH($G$3,$A$1:$A$28,0),0)</f>
        <v>2428003</v>
      </c>
    </row>
    <row r="5" spans="1:7" ht="14" x14ac:dyDescent="0.3">
      <c r="A5" s="5" t="s">
        <v>87</v>
      </c>
      <c r="B5" s="5">
        <v>2898</v>
      </c>
      <c r="C5" s="5">
        <v>411077</v>
      </c>
      <c r="D5" s="5">
        <v>447497</v>
      </c>
      <c r="F5" s="5" t="s">
        <v>3074</v>
      </c>
      <c r="G5" s="5">
        <f>INDEX($B$2:$D$28,MATCH($G$3,$A$2:$A$28,0),MATCH($G$2,$B$1:$D$1,0))</f>
        <v>2428003</v>
      </c>
    </row>
    <row r="6" spans="1:7" ht="14" x14ac:dyDescent="0.3">
      <c r="A6" s="5" t="s">
        <v>32</v>
      </c>
      <c r="B6" s="5">
        <v>2495</v>
      </c>
      <c r="C6" s="5">
        <v>336301</v>
      </c>
      <c r="D6" s="5">
        <v>442913</v>
      </c>
    </row>
    <row r="7" spans="1:7" ht="14" x14ac:dyDescent="0.3">
      <c r="A7" s="5" t="s">
        <v>12</v>
      </c>
      <c r="B7" s="5">
        <v>321</v>
      </c>
      <c r="C7" s="5">
        <v>269390</v>
      </c>
      <c r="D7" s="5">
        <v>321427</v>
      </c>
    </row>
    <row r="8" spans="1:7" ht="14" x14ac:dyDescent="0.3">
      <c r="A8" s="5" t="s">
        <v>42</v>
      </c>
      <c r="B8" s="5">
        <v>2501</v>
      </c>
      <c r="C8" s="5">
        <v>260145</v>
      </c>
      <c r="D8" s="5">
        <v>332482</v>
      </c>
    </row>
    <row r="9" spans="1:7" ht="14" x14ac:dyDescent="0.3">
      <c r="A9" s="5" t="s">
        <v>309</v>
      </c>
      <c r="B9" s="5">
        <v>1056</v>
      </c>
      <c r="C9" s="5">
        <v>156980</v>
      </c>
      <c r="D9" s="5">
        <v>176176</v>
      </c>
    </row>
    <row r="10" spans="1:7" ht="14" x14ac:dyDescent="0.3">
      <c r="A10" s="5" t="s">
        <v>152</v>
      </c>
      <c r="B10" s="5">
        <v>1200</v>
      </c>
      <c r="C10" s="5">
        <v>151659</v>
      </c>
      <c r="D10" s="5">
        <v>193265</v>
      </c>
    </row>
    <row r="11" spans="1:7" ht="14" x14ac:dyDescent="0.3">
      <c r="A11" s="5" t="s">
        <v>38</v>
      </c>
      <c r="B11" s="5">
        <v>1544</v>
      </c>
      <c r="C11" s="5">
        <v>142142</v>
      </c>
      <c r="D11" s="5">
        <v>165286</v>
      </c>
    </row>
    <row r="12" spans="1:7" ht="14" x14ac:dyDescent="0.3">
      <c r="A12" s="5" t="s">
        <v>101</v>
      </c>
      <c r="B12" s="5">
        <v>992</v>
      </c>
      <c r="C12" s="5">
        <v>137775</v>
      </c>
      <c r="D12" s="5">
        <v>178891</v>
      </c>
    </row>
    <row r="13" spans="1:7" ht="14" x14ac:dyDescent="0.3">
      <c r="A13" s="5" t="s">
        <v>418</v>
      </c>
      <c r="B13" s="5">
        <v>1885</v>
      </c>
      <c r="C13" s="5">
        <v>132350</v>
      </c>
      <c r="D13" s="5">
        <v>132201</v>
      </c>
    </row>
    <row r="14" spans="1:7" ht="14" x14ac:dyDescent="0.3">
      <c r="A14" s="5" t="s">
        <v>1335</v>
      </c>
      <c r="B14" s="5">
        <v>1283</v>
      </c>
      <c r="C14" s="5">
        <v>106518</v>
      </c>
      <c r="D14" s="5">
        <v>104222</v>
      </c>
    </row>
    <row r="15" spans="1:7" ht="14" x14ac:dyDescent="0.3">
      <c r="A15" s="5" t="s">
        <v>368</v>
      </c>
      <c r="B15" s="5">
        <v>101</v>
      </c>
      <c r="C15" s="5">
        <v>88809</v>
      </c>
      <c r="D15" s="5">
        <v>92314</v>
      </c>
    </row>
    <row r="16" spans="1:7" ht="14" x14ac:dyDescent="0.3">
      <c r="A16" s="5" t="s">
        <v>67</v>
      </c>
      <c r="B16" s="5">
        <v>999</v>
      </c>
      <c r="C16" s="5">
        <v>73389</v>
      </c>
      <c r="D16" s="5">
        <v>73415</v>
      </c>
    </row>
    <row r="17" spans="1:4" ht="14" x14ac:dyDescent="0.3">
      <c r="A17" s="5" t="s">
        <v>241</v>
      </c>
      <c r="B17" s="5">
        <v>75</v>
      </c>
      <c r="C17" s="5">
        <v>60608</v>
      </c>
      <c r="D17" s="5">
        <v>77155</v>
      </c>
    </row>
    <row r="18" spans="1:4" ht="14" x14ac:dyDescent="0.3">
      <c r="A18" s="5" t="s">
        <v>777</v>
      </c>
      <c r="B18" s="5" t="s">
        <v>519</v>
      </c>
      <c r="C18" s="5">
        <v>59897</v>
      </c>
      <c r="D18" s="5">
        <v>74471</v>
      </c>
    </row>
    <row r="19" spans="1:4" ht="14" x14ac:dyDescent="0.3">
      <c r="A19" s="5" t="s">
        <v>3027</v>
      </c>
      <c r="B19" s="5">
        <v>77</v>
      </c>
      <c r="C19" s="5">
        <v>50873</v>
      </c>
      <c r="D19" s="5">
        <v>43223</v>
      </c>
    </row>
    <row r="20" spans="1:4" ht="14" x14ac:dyDescent="0.3">
      <c r="A20" s="5" t="s">
        <v>548</v>
      </c>
      <c r="B20" s="5">
        <v>881</v>
      </c>
      <c r="C20" s="5">
        <v>43425</v>
      </c>
      <c r="D20" s="5">
        <v>56409</v>
      </c>
    </row>
    <row r="21" spans="1:4" ht="14" x14ac:dyDescent="0.3">
      <c r="A21" s="5" t="s">
        <v>947</v>
      </c>
      <c r="B21" s="5">
        <v>246</v>
      </c>
      <c r="C21" s="5">
        <v>43421</v>
      </c>
      <c r="D21" s="5">
        <v>61511</v>
      </c>
    </row>
    <row r="22" spans="1:4" ht="14" x14ac:dyDescent="0.3">
      <c r="A22" s="5" t="s">
        <v>1413</v>
      </c>
      <c r="B22" s="5">
        <v>346</v>
      </c>
      <c r="C22" s="5">
        <v>37359</v>
      </c>
      <c r="D22" s="5">
        <v>32584</v>
      </c>
    </row>
    <row r="23" spans="1:4" ht="14" x14ac:dyDescent="0.3">
      <c r="A23" s="5" t="s">
        <v>800</v>
      </c>
      <c r="B23" s="5" t="s">
        <v>519</v>
      </c>
      <c r="C23" s="5">
        <v>30312</v>
      </c>
      <c r="D23" s="5">
        <v>26654</v>
      </c>
    </row>
    <row r="24" spans="1:4" ht="14" x14ac:dyDescent="0.3">
      <c r="A24" s="5" t="s">
        <v>3028</v>
      </c>
      <c r="B24" s="5" t="s">
        <v>519</v>
      </c>
      <c r="C24" s="5">
        <v>28156</v>
      </c>
      <c r="D24" s="5">
        <v>31852</v>
      </c>
    </row>
    <row r="25" spans="1:4" ht="14" x14ac:dyDescent="0.3">
      <c r="A25" s="5" t="s">
        <v>3024</v>
      </c>
      <c r="B25" s="5" t="s">
        <v>519</v>
      </c>
      <c r="C25" s="5">
        <v>12892</v>
      </c>
      <c r="D25" s="5">
        <v>6683</v>
      </c>
    </row>
    <row r="26" spans="1:4" ht="14" x14ac:dyDescent="0.3">
      <c r="A26" s="5" t="s">
        <v>1394</v>
      </c>
      <c r="B26" s="5" t="s">
        <v>519</v>
      </c>
      <c r="C26" s="5">
        <v>12834</v>
      </c>
      <c r="D26" s="5">
        <v>14752</v>
      </c>
    </row>
    <row r="27" spans="1:4" ht="14" x14ac:dyDescent="0.3">
      <c r="A27" s="5" t="s">
        <v>3029</v>
      </c>
      <c r="B27" s="5" t="s">
        <v>519</v>
      </c>
      <c r="C27" s="5">
        <v>7211</v>
      </c>
      <c r="D27" s="5">
        <v>8931</v>
      </c>
    </row>
    <row r="28" spans="1:4" ht="14" x14ac:dyDescent="0.3">
      <c r="A28" s="5" t="s">
        <v>3030</v>
      </c>
      <c r="B28" s="5">
        <v>69</v>
      </c>
      <c r="C28" s="5">
        <v>2007</v>
      </c>
      <c r="D28" s="5">
        <v>6964</v>
      </c>
    </row>
  </sheetData>
  <dataValidations count="1">
    <dataValidation type="list" allowBlank="1" showInputMessage="1" showErrorMessage="1" sqref="G2" xr:uid="{4F826D68-3689-42B9-B79A-693CCC8BF071}">
      <formula1>"2016,2017,2018"</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0B2A8AF-455C-486A-83E8-D11ECFAA1976}">
          <x14:formula1>
            <xm:f>States!$A$7:$A$27</xm:f>
          </x14:formula1>
          <xm:sqref>G3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045F6-36C5-4CC4-8889-A669D6A1CF7B}">
  <sheetPr>
    <tabColor theme="9" tint="0.79998168889431442"/>
  </sheetPr>
  <dimension ref="A1:I23"/>
  <sheetViews>
    <sheetView workbookViewId="0">
      <selection activeCell="E4" sqref="E4:E23"/>
    </sheetView>
  </sheetViews>
  <sheetFormatPr defaultRowHeight="14.5" x14ac:dyDescent="0.3"/>
  <cols>
    <col min="1" max="1" width="34.33203125" bestFit="1" customWidth="1"/>
    <col min="2" max="2" width="5" bestFit="1" customWidth="1"/>
    <col min="3" max="3" width="12.83203125" bestFit="1" customWidth="1"/>
    <col min="4" max="4" width="6.83203125" bestFit="1" customWidth="1"/>
    <col min="5" max="5" width="9.75" bestFit="1" customWidth="1"/>
    <col min="6" max="6" width="10.83203125" bestFit="1" customWidth="1"/>
    <col min="7" max="7" width="10.5" bestFit="1" customWidth="1"/>
    <col min="8" max="8" width="5" bestFit="1" customWidth="1"/>
    <col min="9" max="9" width="8.08203125" bestFit="1" customWidth="1"/>
  </cols>
  <sheetData>
    <row r="1" spans="1:9" ht="21" customHeight="1" x14ac:dyDescent="0.45">
      <c r="A1" s="6" t="s">
        <v>3063</v>
      </c>
      <c r="B1" s="6"/>
      <c r="C1" s="6"/>
      <c r="D1" s="6"/>
      <c r="E1" s="6"/>
    </row>
    <row r="3" spans="1:9" ht="14" x14ac:dyDescent="0.3">
      <c r="A3" s="5" t="s">
        <v>3064</v>
      </c>
      <c r="B3" s="5" t="s">
        <v>3065</v>
      </c>
      <c r="C3" s="5" t="s">
        <v>3066</v>
      </c>
      <c r="D3" s="5" t="s">
        <v>3067</v>
      </c>
      <c r="E3" s="5" t="s">
        <v>3068</v>
      </c>
      <c r="F3" s="5" t="s">
        <v>3069</v>
      </c>
      <c r="G3" s="5" t="s">
        <v>3070</v>
      </c>
      <c r="H3" s="5" t="s">
        <v>3071</v>
      </c>
      <c r="I3" s="5" t="s">
        <v>3058</v>
      </c>
    </row>
    <row r="4" spans="1:9" ht="14" x14ac:dyDescent="0.3">
      <c r="A4" s="5" t="s">
        <v>7</v>
      </c>
      <c r="B4" s="5" t="str">
        <f>_xlfn.XLOOKUP($A4,Data!$A:$A,Data!$B:$B)</f>
        <v>SP</v>
      </c>
      <c r="C4" s="5" t="str">
        <f>VLOOKUP($B4,States!$A:$B,2,FALSE)</f>
        <v>São Paulo</v>
      </c>
      <c r="D4" s="5">
        <f>_xlfn.XLOOKUP($A4,Data!$A:$A,Data!$C:$C)</f>
        <v>1124</v>
      </c>
      <c r="E4" s="5">
        <f>_xlfn.XLOOKUP($A4,Data!$A:$A,Data!$E:$E)</f>
        <v>247007.06</v>
      </c>
      <c r="F4" s="5">
        <f>_xlfn.XLOOKUP($A4,Data!$A:$A,Data!$F:$F)</f>
        <v>4.1399999999999997</v>
      </c>
      <c r="G4" s="5">
        <f>_xlfn.XLOOKUP($A4,Data!$A:$A,Data!$G:$G)</f>
        <v>89.5</v>
      </c>
      <c r="H4" s="5">
        <f>RANK(E4,$E$4:$E$23)</f>
        <v>1</v>
      </c>
      <c r="I4" s="5" t="str">
        <f>LOOKUP(E4,States!$E$2:$E$5,States!$F$2:$F$5)</f>
        <v>Platinum</v>
      </c>
    </row>
    <row r="5" spans="1:9" ht="14" x14ac:dyDescent="0.3">
      <c r="A5" s="5" t="s">
        <v>9</v>
      </c>
      <c r="B5" s="5" t="str">
        <f>_xlfn.XLOOKUP($A5,Data!$A:$A,Data!$B:$B)</f>
        <v>SP</v>
      </c>
      <c r="C5" s="5" t="str">
        <f>VLOOKUP($B5,States!$A:$B,2,FALSE)</f>
        <v>São Paulo</v>
      </c>
      <c r="D5" s="5">
        <f>_xlfn.XLOOKUP($A5,Data!$A:$A,Data!$C:$C)</f>
        <v>973</v>
      </c>
      <c r="E5" s="5">
        <f>_xlfn.XLOOKUP($A5,Data!$A:$A,Data!$E:$E)</f>
        <v>237806.69</v>
      </c>
      <c r="F5" s="5">
        <f>_xlfn.XLOOKUP($A5,Data!$A:$A,Data!$F:$F)</f>
        <v>3.35</v>
      </c>
      <c r="G5" s="5">
        <f>_xlfn.XLOOKUP($A5,Data!$A:$A,Data!$G:$G)</f>
        <v>91.1</v>
      </c>
      <c r="H5" s="5">
        <f t="shared" ref="H5:H23" si="0">RANK(E5,$E$4:$E$23)</f>
        <v>2</v>
      </c>
      <c r="I5" s="5" t="str">
        <f>LOOKUP(E5,States!$E$2:$E$5,States!$F$2:$F$5)</f>
        <v>Platinum</v>
      </c>
    </row>
    <row r="6" spans="1:9" ht="14" x14ac:dyDescent="0.3">
      <c r="A6" s="5" t="s">
        <v>10</v>
      </c>
      <c r="B6" s="5" t="str">
        <f>_xlfn.XLOOKUP($A6,Data!$A:$A,Data!$B:$B)</f>
        <v>SP</v>
      </c>
      <c r="C6" s="5" t="str">
        <f>VLOOKUP($B6,States!$A:$B,2,FALSE)</f>
        <v>São Paulo</v>
      </c>
      <c r="D6" s="5">
        <f>_xlfn.XLOOKUP($A6,Data!$A:$A,Data!$C:$C)</f>
        <v>1772</v>
      </c>
      <c r="E6" s="5">
        <f>_xlfn.XLOOKUP($A6,Data!$A:$A,Data!$E:$E)</f>
        <v>231220.43</v>
      </c>
      <c r="F6" s="5">
        <f>_xlfn.XLOOKUP($A6,Data!$A:$A,Data!$F:$F)</f>
        <v>3.83</v>
      </c>
      <c r="G6" s="5">
        <f>_xlfn.XLOOKUP($A6,Data!$A:$A,Data!$G:$G)</f>
        <v>90.3</v>
      </c>
      <c r="H6" s="5">
        <f t="shared" si="0"/>
        <v>3</v>
      </c>
      <c r="I6" s="5" t="str">
        <f>LOOKUP(E6,States!$E$2:$E$5,States!$F$2:$F$5)</f>
        <v>Platinum</v>
      </c>
    </row>
    <row r="7" spans="1:9" ht="14" x14ac:dyDescent="0.3">
      <c r="A7" s="5" t="s">
        <v>11</v>
      </c>
      <c r="B7" s="5" t="str">
        <f>_xlfn.XLOOKUP($A7,Data!$A:$A,Data!$B:$B)</f>
        <v>BA</v>
      </c>
      <c r="C7" s="5" t="str">
        <f>VLOOKUP($B7,States!$A:$B,2,FALSE)</f>
        <v>Bahia</v>
      </c>
      <c r="D7" s="5">
        <f>_xlfn.XLOOKUP($A7,Data!$A:$A,Data!$C:$C)</f>
        <v>348</v>
      </c>
      <c r="E7" s="5">
        <f>_xlfn.XLOOKUP($A7,Data!$A:$A,Data!$E:$E)</f>
        <v>230797.02</v>
      </c>
      <c r="F7" s="5">
        <f>_xlfn.XLOOKUP($A7,Data!$A:$A,Data!$F:$F)</f>
        <v>4.13</v>
      </c>
      <c r="G7" s="5">
        <f>_xlfn.XLOOKUP($A7,Data!$A:$A,Data!$G:$G)</f>
        <v>97</v>
      </c>
      <c r="H7" s="5">
        <f t="shared" si="0"/>
        <v>4</v>
      </c>
      <c r="I7" s="5" t="str">
        <f>LOOKUP(E7,States!$E$2:$E$5,States!$F$2:$F$5)</f>
        <v>Platinum</v>
      </c>
    </row>
    <row r="8" spans="1:9" ht="14" x14ac:dyDescent="0.3">
      <c r="A8" s="5" t="s">
        <v>13</v>
      </c>
      <c r="B8" s="5" t="str">
        <f>_xlfn.XLOOKUP($A8,Data!$A:$A,Data!$B:$B)</f>
        <v>SP</v>
      </c>
      <c r="C8" s="5" t="str">
        <f>VLOOKUP($B8,States!$A:$B,2,FALSE)</f>
        <v>São Paulo</v>
      </c>
      <c r="D8" s="5">
        <f>_xlfn.XLOOKUP($A8,Data!$A:$A,Data!$C:$C)</f>
        <v>578</v>
      </c>
      <c r="E8" s="5">
        <f>_xlfn.XLOOKUP($A8,Data!$A:$A,Data!$E:$E)</f>
        <v>200833.5</v>
      </c>
      <c r="F8" s="5">
        <f>_xlfn.XLOOKUP($A8,Data!$A:$A,Data!$F:$F)</f>
        <v>4.37</v>
      </c>
      <c r="G8" s="5">
        <f>_xlfn.XLOOKUP($A8,Data!$A:$A,Data!$G:$G)</f>
        <v>90.8</v>
      </c>
      <c r="H8" s="5">
        <f t="shared" si="0"/>
        <v>5</v>
      </c>
      <c r="I8" s="5" t="str">
        <f>LOOKUP(E8,States!$E$2:$E$5,States!$F$2:$F$5)</f>
        <v>Platinum</v>
      </c>
    </row>
    <row r="9" spans="1:9" ht="14" x14ac:dyDescent="0.3">
      <c r="A9" s="5" t="s">
        <v>14</v>
      </c>
      <c r="B9" s="5" t="str">
        <f>_xlfn.XLOOKUP($A9,Data!$A:$A,Data!$B:$B)</f>
        <v>SP</v>
      </c>
      <c r="C9" s="5" t="str">
        <f>VLOOKUP($B9,States!$A:$B,2,FALSE)</f>
        <v>São Paulo</v>
      </c>
      <c r="D9" s="5">
        <f>_xlfn.XLOOKUP($A9,Data!$A:$A,Data!$C:$C)</f>
        <v>1311</v>
      </c>
      <c r="E9" s="5">
        <f>_xlfn.XLOOKUP($A9,Data!$A:$A,Data!$E:$E)</f>
        <v>184706.78</v>
      </c>
      <c r="F9" s="5">
        <f>_xlfn.XLOOKUP($A9,Data!$A:$A,Data!$F:$F)</f>
        <v>4.07</v>
      </c>
      <c r="G9" s="5">
        <f>_xlfn.XLOOKUP($A9,Data!$A:$A,Data!$G:$G)</f>
        <v>93.6</v>
      </c>
      <c r="H9" s="5">
        <f t="shared" si="0"/>
        <v>6</v>
      </c>
      <c r="I9" s="5" t="str">
        <f>LOOKUP(E9,States!$E$2:$E$5,States!$F$2:$F$5)</f>
        <v>Platinum</v>
      </c>
    </row>
    <row r="10" spans="1:9" ht="14" x14ac:dyDescent="0.3">
      <c r="A10" s="5" t="s">
        <v>15</v>
      </c>
      <c r="B10" s="5" t="str">
        <f>_xlfn.XLOOKUP($A10,Data!$A:$A,Data!$B:$B)</f>
        <v>SP</v>
      </c>
      <c r="C10" s="5" t="str">
        <f>VLOOKUP($B10,States!$A:$B,2,FALSE)</f>
        <v>São Paulo</v>
      </c>
      <c r="D10" s="5">
        <f>_xlfn.XLOOKUP($A10,Data!$A:$A,Data!$C:$C)</f>
        <v>319</v>
      </c>
      <c r="E10" s="5">
        <f>_xlfn.XLOOKUP($A10,Data!$A:$A,Data!$E:$E)</f>
        <v>171973.55</v>
      </c>
      <c r="F10" s="5">
        <f>_xlfn.XLOOKUP($A10,Data!$A:$A,Data!$F:$F)</f>
        <v>4.3600000000000003</v>
      </c>
      <c r="G10" s="5">
        <f>_xlfn.XLOOKUP($A10,Data!$A:$A,Data!$G:$G)</f>
        <v>95.3</v>
      </c>
      <c r="H10" s="5">
        <f t="shared" si="0"/>
        <v>7</v>
      </c>
      <c r="I10" s="5" t="str">
        <f>LOOKUP(E10,States!$E$2:$E$5,States!$F$2:$F$5)</f>
        <v>Platinum</v>
      </c>
    </row>
    <row r="11" spans="1:9" ht="14" x14ac:dyDescent="0.3">
      <c r="A11" s="5" t="s">
        <v>16</v>
      </c>
      <c r="B11" s="5" t="str">
        <f>_xlfn.XLOOKUP($A11,Data!$A:$A,Data!$B:$B)</f>
        <v>SP</v>
      </c>
      <c r="C11" s="5" t="str">
        <f>VLOOKUP($B11,States!$A:$B,2,FALSE)</f>
        <v>São Paulo</v>
      </c>
      <c r="D11" s="5">
        <f>_xlfn.XLOOKUP($A11,Data!$A:$A,Data!$C:$C)</f>
        <v>910</v>
      </c>
      <c r="E11" s="5">
        <f>_xlfn.XLOOKUP($A11,Data!$A:$A,Data!$E:$E)</f>
        <v>171924.96</v>
      </c>
      <c r="F11" s="5">
        <f>_xlfn.XLOOKUP($A11,Data!$A:$A,Data!$F:$F)</f>
        <v>3.87</v>
      </c>
      <c r="G11" s="5">
        <f>_xlfn.XLOOKUP($A11,Data!$A:$A,Data!$G:$G)</f>
        <v>93.3</v>
      </c>
      <c r="H11" s="5">
        <f t="shared" si="0"/>
        <v>8</v>
      </c>
      <c r="I11" s="5" t="str">
        <f>LOOKUP(E11,States!$E$2:$E$5,States!$F$2:$F$5)</f>
        <v>Platinum</v>
      </c>
    </row>
    <row r="12" spans="1:9" ht="14" x14ac:dyDescent="0.3">
      <c r="A12" s="5" t="s">
        <v>17</v>
      </c>
      <c r="B12" s="5" t="str">
        <f>_xlfn.XLOOKUP($A12,Data!$A:$A,Data!$B:$B)</f>
        <v>SP</v>
      </c>
      <c r="C12" s="5" t="str">
        <f>VLOOKUP($B12,States!$A:$B,2,FALSE)</f>
        <v>São Paulo</v>
      </c>
      <c r="D12" s="5">
        <f>_xlfn.XLOOKUP($A12,Data!$A:$A,Data!$C:$C)</f>
        <v>1145</v>
      </c>
      <c r="E12" s="5">
        <f>_xlfn.XLOOKUP($A12,Data!$A:$A,Data!$E:$E)</f>
        <v>160278.51999999999</v>
      </c>
      <c r="F12" s="5">
        <f>_xlfn.XLOOKUP($A12,Data!$A:$A,Data!$F:$F)</f>
        <v>4.2699999999999996</v>
      </c>
      <c r="G12" s="5">
        <f>_xlfn.XLOOKUP($A12,Data!$A:$A,Data!$G:$G)</f>
        <v>94.8</v>
      </c>
      <c r="H12" s="5">
        <f t="shared" si="0"/>
        <v>9</v>
      </c>
      <c r="I12" s="5" t="str">
        <f>LOOKUP(E12,States!$E$2:$E$5,States!$F$2:$F$5)</f>
        <v>Platinum</v>
      </c>
    </row>
    <row r="13" spans="1:9" ht="14" x14ac:dyDescent="0.3">
      <c r="A13" s="5" t="s">
        <v>18</v>
      </c>
      <c r="B13" s="5" t="str">
        <f>_xlfn.XLOOKUP($A13,Data!$A:$A,Data!$B:$B)</f>
        <v>SP</v>
      </c>
      <c r="C13" s="5" t="str">
        <f>VLOOKUP($B13,States!$A:$B,2,FALSE)</f>
        <v>São Paulo</v>
      </c>
      <c r="D13" s="5">
        <f>_xlfn.XLOOKUP($A13,Data!$A:$A,Data!$C:$C)</f>
        <v>1261</v>
      </c>
      <c r="E13" s="5">
        <f>_xlfn.XLOOKUP($A13,Data!$A:$A,Data!$E:$E)</f>
        <v>156606.48000000001</v>
      </c>
      <c r="F13" s="5">
        <f>_xlfn.XLOOKUP($A13,Data!$A:$A,Data!$F:$F)</f>
        <v>4.09</v>
      </c>
      <c r="G13" s="5">
        <f>_xlfn.XLOOKUP($A13,Data!$A:$A,Data!$G:$G)</f>
        <v>93.5</v>
      </c>
      <c r="H13" s="5">
        <f t="shared" si="0"/>
        <v>10</v>
      </c>
      <c r="I13" s="5" t="str">
        <f>LOOKUP(E13,States!$E$2:$E$5,States!$F$2:$F$5)</f>
        <v>Platinum</v>
      </c>
    </row>
    <row r="14" spans="1:9" ht="14" x14ac:dyDescent="0.3">
      <c r="A14" s="5" t="s">
        <v>19</v>
      </c>
      <c r="B14" s="5" t="str">
        <f>_xlfn.XLOOKUP($A14,Data!$A:$A,Data!$B:$B)</f>
        <v>SP</v>
      </c>
      <c r="C14" s="5" t="str">
        <f>VLOOKUP($B14,States!$A:$B,2,FALSE)</f>
        <v>São Paulo</v>
      </c>
      <c r="D14" s="5">
        <f>_xlfn.XLOOKUP($A14,Data!$A:$A,Data!$C:$C)</f>
        <v>1819</v>
      </c>
      <c r="E14" s="5">
        <f>_xlfn.XLOOKUP($A14,Data!$A:$A,Data!$E:$E)</f>
        <v>148050.94</v>
      </c>
      <c r="F14" s="5">
        <f>_xlfn.XLOOKUP($A14,Data!$A:$A,Data!$F:$F)</f>
        <v>3.95</v>
      </c>
      <c r="G14" s="5">
        <f>_xlfn.XLOOKUP($A14,Data!$A:$A,Data!$G:$G)</f>
        <v>94.9</v>
      </c>
      <c r="H14" s="5">
        <f t="shared" si="0"/>
        <v>11</v>
      </c>
      <c r="I14" s="5" t="str">
        <f>LOOKUP(E14,States!$E$2:$E$5,States!$F$2:$F$5)</f>
        <v>Gold</v>
      </c>
    </row>
    <row r="15" spans="1:9" ht="14" x14ac:dyDescent="0.3">
      <c r="A15" s="5" t="s">
        <v>20</v>
      </c>
      <c r="B15" s="5" t="str">
        <f>_xlfn.XLOOKUP($A15,Data!$A:$A,Data!$B:$B)</f>
        <v>SP</v>
      </c>
      <c r="C15" s="5" t="str">
        <f>VLOOKUP($B15,States!$A:$B,2,FALSE)</f>
        <v>São Paulo</v>
      </c>
      <c r="D15" s="5">
        <f>_xlfn.XLOOKUP($A15,Data!$A:$A,Data!$C:$C)</f>
        <v>1399</v>
      </c>
      <c r="E15" s="5">
        <f>_xlfn.XLOOKUP($A15,Data!$A:$A,Data!$E:$E)</f>
        <v>141712.94</v>
      </c>
      <c r="F15" s="5">
        <f>_xlfn.XLOOKUP($A15,Data!$A:$A,Data!$F:$F)</f>
        <v>3.99</v>
      </c>
      <c r="G15" s="5">
        <f>_xlfn.XLOOKUP($A15,Data!$A:$A,Data!$G:$G)</f>
        <v>92.2</v>
      </c>
      <c r="H15" s="5">
        <f t="shared" si="0"/>
        <v>12</v>
      </c>
      <c r="I15" s="5" t="str">
        <f>LOOKUP(E15,States!$E$2:$E$5,States!$F$2:$F$5)</f>
        <v>Gold</v>
      </c>
    </row>
    <row r="16" spans="1:9" ht="14" x14ac:dyDescent="0.3">
      <c r="A16" s="5" t="s">
        <v>21</v>
      </c>
      <c r="B16" s="5" t="str">
        <f>_xlfn.XLOOKUP($A16,Data!$A:$A,Data!$B:$B)</f>
        <v>RJ</v>
      </c>
      <c r="C16" s="5" t="str">
        <f>VLOOKUP($B16,States!$A:$B,2,FALSE)</f>
        <v>Rio de Janeiro</v>
      </c>
      <c r="D16" s="5">
        <f>_xlfn.XLOOKUP($A16,Data!$A:$A,Data!$C:$C)</f>
        <v>503</v>
      </c>
      <c r="E16" s="5">
        <f>_xlfn.XLOOKUP($A16,Data!$A:$A,Data!$E:$E)</f>
        <v>134162.88</v>
      </c>
      <c r="F16" s="5">
        <f>_xlfn.XLOOKUP($A16,Data!$A:$A,Data!$F:$F)</f>
        <v>4.26</v>
      </c>
      <c r="G16" s="5">
        <f>_xlfn.XLOOKUP($A16,Data!$A:$A,Data!$G:$G)</f>
        <v>94.5</v>
      </c>
      <c r="H16" s="5">
        <f t="shared" si="0"/>
        <v>13</v>
      </c>
      <c r="I16" s="5" t="str">
        <f>LOOKUP(E16,States!$E$2:$E$5,States!$F$2:$F$5)</f>
        <v>Gold</v>
      </c>
    </row>
    <row r="17" spans="1:9" ht="14" x14ac:dyDescent="0.3">
      <c r="A17" s="5" t="s">
        <v>23</v>
      </c>
      <c r="B17" s="5" t="str">
        <f>_xlfn.XLOOKUP($A17,Data!$A:$A,Data!$B:$B)</f>
        <v>MG</v>
      </c>
      <c r="C17" s="5" t="str">
        <f>VLOOKUP($B17,States!$A:$B,2,FALSE)</f>
        <v>Minas Gerais</v>
      </c>
      <c r="D17" s="5">
        <f>_xlfn.XLOOKUP($A17,Data!$A:$A,Data!$C:$C)</f>
        <v>702</v>
      </c>
      <c r="E17" s="5">
        <f>_xlfn.XLOOKUP($A17,Data!$A:$A,Data!$E:$E)</f>
        <v>130412.74</v>
      </c>
      <c r="F17" s="5">
        <f>_xlfn.XLOOKUP($A17,Data!$A:$A,Data!$F:$F)</f>
        <v>4.25</v>
      </c>
      <c r="G17" s="5">
        <f>_xlfn.XLOOKUP($A17,Data!$A:$A,Data!$G:$G)</f>
        <v>95.1</v>
      </c>
      <c r="H17" s="5">
        <f t="shared" si="0"/>
        <v>14</v>
      </c>
      <c r="I17" s="5" t="str">
        <f>LOOKUP(E17,States!$E$2:$E$5,States!$F$2:$F$5)</f>
        <v>Gold</v>
      </c>
    </row>
    <row r="18" spans="1:9" ht="14" x14ac:dyDescent="0.3">
      <c r="A18" s="5" t="s">
        <v>25</v>
      </c>
      <c r="B18" s="5" t="str">
        <f>_xlfn.XLOOKUP($A18,Data!$A:$A,Data!$B:$B)</f>
        <v>RJ</v>
      </c>
      <c r="C18" s="5" t="str">
        <f>VLOOKUP($B18,States!$A:$B,2,FALSE)</f>
        <v>Rio de Janeiro</v>
      </c>
      <c r="D18" s="5">
        <f>_xlfn.XLOOKUP($A18,Data!$A:$A,Data!$C:$C)</f>
        <v>722</v>
      </c>
      <c r="E18" s="5">
        <f>_xlfn.XLOOKUP($A18,Data!$A:$A,Data!$E:$E)</f>
        <v>126278.18</v>
      </c>
      <c r="F18" s="5">
        <f>_xlfn.XLOOKUP($A18,Data!$A:$A,Data!$F:$F)</f>
        <v>4.2699999999999996</v>
      </c>
      <c r="G18" s="5">
        <f>_xlfn.XLOOKUP($A18,Data!$A:$A,Data!$G:$G)</f>
        <v>91.6</v>
      </c>
      <c r="H18" s="5">
        <f t="shared" si="0"/>
        <v>15</v>
      </c>
      <c r="I18" s="5" t="str">
        <f>LOOKUP(E18,States!$E$2:$E$5,States!$F$2:$F$5)</f>
        <v>Gold</v>
      </c>
    </row>
    <row r="19" spans="1:9" ht="14" x14ac:dyDescent="0.3">
      <c r="A19" s="5" t="s">
        <v>26</v>
      </c>
      <c r="B19" s="5" t="str">
        <f>_xlfn.XLOOKUP($A19,Data!$A:$A,Data!$B:$B)</f>
        <v>SP</v>
      </c>
      <c r="C19" s="5" t="str">
        <f>VLOOKUP($B19,States!$A:$B,2,FALSE)</f>
        <v>São Paulo</v>
      </c>
      <c r="D19" s="5">
        <f>_xlfn.XLOOKUP($A19,Data!$A:$A,Data!$C:$C)</f>
        <v>1651</v>
      </c>
      <c r="E19" s="5">
        <f>_xlfn.XLOOKUP($A19,Data!$A:$A,Data!$E:$E)</f>
        <v>125936.99</v>
      </c>
      <c r="F19" s="5">
        <f>_xlfn.XLOOKUP($A19,Data!$A:$A,Data!$F:$F)</f>
        <v>4.1399999999999997</v>
      </c>
      <c r="G19" s="5">
        <f>_xlfn.XLOOKUP($A19,Data!$A:$A,Data!$G:$G)</f>
        <v>94.9</v>
      </c>
      <c r="H19" s="5">
        <f t="shared" si="0"/>
        <v>16</v>
      </c>
      <c r="I19" s="5" t="str">
        <f>LOOKUP(E19,States!$E$2:$E$5,States!$F$2:$F$5)</f>
        <v>Gold</v>
      </c>
    </row>
    <row r="20" spans="1:9" ht="14" x14ac:dyDescent="0.3">
      <c r="A20" s="5" t="s">
        <v>27</v>
      </c>
      <c r="B20" s="5" t="str">
        <f>_xlfn.XLOOKUP($A20,Data!$A:$A,Data!$B:$B)</f>
        <v>SP</v>
      </c>
      <c r="C20" s="5" t="str">
        <f>VLOOKUP($B20,States!$A:$B,2,FALSE)</f>
        <v>São Paulo</v>
      </c>
      <c r="D20" s="5">
        <f>_xlfn.XLOOKUP($A20,Data!$A:$A,Data!$C:$C)</f>
        <v>322</v>
      </c>
      <c r="E20" s="5">
        <f>_xlfn.XLOOKUP($A20,Data!$A:$A,Data!$E:$E)</f>
        <v>124702.92</v>
      </c>
      <c r="F20" s="5">
        <f>_xlfn.XLOOKUP($A20,Data!$A:$A,Data!$F:$F)</f>
        <v>4.0199999999999996</v>
      </c>
      <c r="G20" s="5">
        <f>_xlfn.XLOOKUP($A20,Data!$A:$A,Data!$G:$G)</f>
        <v>94.8</v>
      </c>
      <c r="H20" s="5">
        <f t="shared" si="0"/>
        <v>17</v>
      </c>
      <c r="I20" s="5" t="str">
        <f>LOOKUP(E20,States!$E$2:$E$5,States!$F$2:$F$5)</f>
        <v>Gold</v>
      </c>
    </row>
    <row r="21" spans="1:9" ht="14" x14ac:dyDescent="0.3">
      <c r="A21" s="5" t="s">
        <v>28</v>
      </c>
      <c r="B21" s="5" t="str">
        <f>_xlfn.XLOOKUP($A21,Data!$A:$A,Data!$B:$B)</f>
        <v>SP</v>
      </c>
      <c r="C21" s="5" t="str">
        <f>VLOOKUP($B21,States!$A:$B,2,FALSE)</f>
        <v>São Paulo</v>
      </c>
      <c r="D21" s="5">
        <f>_xlfn.XLOOKUP($A21,Data!$A:$A,Data!$C:$C)</f>
        <v>558</v>
      </c>
      <c r="E21" s="5">
        <f>_xlfn.XLOOKUP($A21,Data!$A:$A,Data!$E:$E)</f>
        <v>120934.47</v>
      </c>
      <c r="F21" s="5">
        <f>_xlfn.XLOOKUP($A21,Data!$A:$A,Data!$F:$F)</f>
        <v>4.0199999999999996</v>
      </c>
      <c r="G21" s="5">
        <f>_xlfn.XLOOKUP($A21,Data!$A:$A,Data!$G:$G)</f>
        <v>88.8</v>
      </c>
      <c r="H21" s="5">
        <f t="shared" si="0"/>
        <v>18</v>
      </c>
      <c r="I21" s="5" t="str">
        <f>LOOKUP(E21,States!$E$2:$E$5,States!$F$2:$F$5)</f>
        <v>Gold</v>
      </c>
    </row>
    <row r="22" spans="1:9" ht="14" x14ac:dyDescent="0.3">
      <c r="A22" s="5" t="s">
        <v>29</v>
      </c>
      <c r="B22" s="5" t="str">
        <f>_xlfn.XLOOKUP($A22,Data!$A:$A,Data!$B:$B)</f>
        <v>SP</v>
      </c>
      <c r="C22" s="5" t="str">
        <f>VLOOKUP($B22,States!$A:$B,2,FALSE)</f>
        <v>São Paulo</v>
      </c>
      <c r="D22" s="5">
        <f>_xlfn.XLOOKUP($A22,Data!$A:$A,Data!$C:$C)</f>
        <v>1064</v>
      </c>
      <c r="E22" s="5">
        <f>_xlfn.XLOOKUP($A22,Data!$A:$A,Data!$E:$E)</f>
        <v>115515.65</v>
      </c>
      <c r="F22" s="5">
        <f>_xlfn.XLOOKUP($A22,Data!$A:$A,Data!$F:$F)</f>
        <v>4.1500000000000004</v>
      </c>
      <c r="G22" s="5">
        <f>_xlfn.XLOOKUP($A22,Data!$A:$A,Data!$G:$G)</f>
        <v>94.5</v>
      </c>
      <c r="H22" s="5">
        <f t="shared" si="0"/>
        <v>19</v>
      </c>
      <c r="I22" s="5" t="str">
        <f>LOOKUP(E22,States!$E$2:$E$5,States!$F$2:$F$5)</f>
        <v>Gold</v>
      </c>
    </row>
    <row r="23" spans="1:9" ht="14" x14ac:dyDescent="0.3">
      <c r="A23" s="5" t="s">
        <v>30</v>
      </c>
      <c r="B23" s="5" t="str">
        <f>_xlfn.XLOOKUP($A23,Data!$A:$A,Data!$B:$B)</f>
        <v>RJ</v>
      </c>
      <c r="C23" s="5" t="str">
        <f>VLOOKUP($B23,States!$A:$B,2,FALSE)</f>
        <v>Rio de Janeiro</v>
      </c>
      <c r="D23" s="5">
        <f>_xlfn.XLOOKUP($A23,Data!$A:$A,Data!$C:$C)</f>
        <v>165</v>
      </c>
      <c r="E23" s="5">
        <f>_xlfn.XLOOKUP($A23,Data!$A:$A,Data!$E:$E)</f>
        <v>83031.14</v>
      </c>
      <c r="F23" s="5">
        <f>_xlfn.XLOOKUP($A23,Data!$A:$A,Data!$F:$F)</f>
        <v>4.45</v>
      </c>
      <c r="G23" s="5">
        <f>_xlfn.XLOOKUP($A23,Data!$A:$A,Data!$G:$G)</f>
        <v>93.1</v>
      </c>
      <c r="H23" s="5">
        <f t="shared" si="0"/>
        <v>20</v>
      </c>
      <c r="I23" s="5" t="str">
        <f>LOOKUP(E23,States!$E$2:$E$5,States!$F$2:$F$5)</f>
        <v>Gold</v>
      </c>
    </row>
  </sheetData>
  <mergeCells count="1">
    <mergeCell ref="A1:E1"/>
  </mergeCells>
  <conditionalFormatting sqref="E4:E23">
    <cfRule type="dataBar" priority="4">
      <dataBar>
        <cfvo type="min"/>
        <cfvo type="max"/>
        <color rgb="FF63C384"/>
      </dataBar>
      <extLst>
        <ext xmlns:x14="http://schemas.microsoft.com/office/spreadsheetml/2009/9/main" uri="{B025F937-C7B1-47D3-B67F-A62EFF666E3E}">
          <x14:id>{423C6AFB-CCEA-4808-8E0C-5A3EB7D70F48}</x14:id>
        </ext>
      </extLst>
    </cfRule>
  </conditionalFormatting>
  <conditionalFormatting sqref="F4:F23">
    <cfRule type="colorScale" priority="1">
      <colorScale>
        <cfvo type="min"/>
        <cfvo type="max"/>
        <color rgb="FFFF0000"/>
        <color rgb="FF00B050"/>
      </colorScale>
    </cfRule>
    <cfRule type="colorScale" priority="2">
      <colorScale>
        <cfvo type="min"/>
        <cfvo type="max"/>
        <color rgb="FFFF0000"/>
        <color rgb="FF92D050"/>
      </colorScale>
    </cfRule>
    <cfRule type="colorScale" priority="3">
      <colorScale>
        <cfvo type="min"/>
        <cfvo type="max"/>
        <color rgb="FFFF0000"/>
        <color rgb="FF00B050"/>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423C6AFB-CCEA-4808-8E0C-5A3EB7D70F48}">
            <x14:dataBar minLength="0" maxLength="100" border="1" negativeBarBorderColorSameAsPositive="0">
              <x14:cfvo type="autoMin"/>
              <x14:cfvo type="autoMax"/>
              <x14:borderColor rgb="FF63C384"/>
              <x14:negativeFillColor rgb="FFFF0000"/>
              <x14:negativeBorderColor rgb="FFFF0000"/>
              <x14:axisColor rgb="FF000000"/>
            </x14:dataBar>
          </x14:cfRule>
          <xm:sqref>E4:E23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B22CD-D126-4A7A-901A-5F2143A982B5}">
  <sheetPr>
    <tabColor theme="9" tint="0.79998168889431442"/>
  </sheetPr>
  <dimension ref="A3:B53"/>
  <sheetViews>
    <sheetView tabSelected="1" zoomScale="70" zoomScaleNormal="70" workbookViewId="0">
      <selection activeCell="B4" sqref="B4"/>
    </sheetView>
  </sheetViews>
  <sheetFormatPr defaultRowHeight="14" x14ac:dyDescent="0.3"/>
  <cols>
    <col min="1" max="1" width="12.4140625" customWidth="1"/>
    <col min="2" max="2" width="24.4140625" customWidth="1"/>
  </cols>
  <sheetData>
    <row r="3" spans="1:2" x14ac:dyDescent="0.3">
      <c r="A3" s="2" t="s">
        <v>3075</v>
      </c>
      <c r="B3" t="s">
        <v>3077</v>
      </c>
    </row>
    <row r="4" spans="1:2" x14ac:dyDescent="0.3">
      <c r="A4" s="3" t="s">
        <v>1394</v>
      </c>
      <c r="B4">
        <v>1258.8</v>
      </c>
    </row>
    <row r="5" spans="1:2" x14ac:dyDescent="0.3">
      <c r="A5" s="3" t="s">
        <v>12</v>
      </c>
      <c r="B5">
        <v>297146.93</v>
      </c>
    </row>
    <row r="6" spans="1:2" x14ac:dyDescent="0.3">
      <c r="A6" s="3" t="s">
        <v>418</v>
      </c>
      <c r="B6">
        <v>23724.050000000003</v>
      </c>
    </row>
    <row r="7" spans="1:2" x14ac:dyDescent="0.3">
      <c r="A7" s="3" t="s">
        <v>152</v>
      </c>
      <c r="B7">
        <v>112892.78000000007</v>
      </c>
    </row>
    <row r="8" spans="1:2" x14ac:dyDescent="0.3">
      <c r="A8" s="3" t="s">
        <v>101</v>
      </c>
      <c r="B8">
        <v>58853.489999999991</v>
      </c>
    </row>
    <row r="9" spans="1:2" x14ac:dyDescent="0.3">
      <c r="A9" s="3" t="s">
        <v>309</v>
      </c>
      <c r="B9">
        <v>77089.48</v>
      </c>
    </row>
    <row r="10" spans="1:2" x14ac:dyDescent="0.3">
      <c r="A10" s="3" t="s">
        <v>67</v>
      </c>
      <c r="B10">
        <v>48169.5</v>
      </c>
    </row>
    <row r="11" spans="1:2" x14ac:dyDescent="0.3">
      <c r="A11" s="3" t="s">
        <v>24</v>
      </c>
      <c r="B11">
        <v>1184427.5399999991</v>
      </c>
    </row>
    <row r="12" spans="1:2" x14ac:dyDescent="0.3">
      <c r="A12" s="3" t="s">
        <v>777</v>
      </c>
      <c r="B12">
        <v>9750.6499999999978</v>
      </c>
    </row>
    <row r="13" spans="1:2" x14ac:dyDescent="0.3">
      <c r="A13" s="3" t="s">
        <v>368</v>
      </c>
      <c r="B13">
        <v>21623.67</v>
      </c>
    </row>
    <row r="14" spans="1:2" x14ac:dyDescent="0.3">
      <c r="A14" s="3" t="s">
        <v>1335</v>
      </c>
      <c r="B14">
        <v>1393.11</v>
      </c>
    </row>
    <row r="15" spans="1:2" x14ac:dyDescent="0.3">
      <c r="A15" s="3" t="s">
        <v>241</v>
      </c>
      <c r="B15">
        <v>17844.429999999997</v>
      </c>
    </row>
    <row r="16" spans="1:2" x14ac:dyDescent="0.3">
      <c r="A16" s="3" t="s">
        <v>38</v>
      </c>
      <c r="B16">
        <v>103486.10000000002</v>
      </c>
    </row>
    <row r="17" spans="1:2" x14ac:dyDescent="0.3">
      <c r="A17" s="3" t="s">
        <v>947</v>
      </c>
      <c r="B17">
        <v>2791.55</v>
      </c>
    </row>
    <row r="18" spans="1:2" x14ac:dyDescent="0.3">
      <c r="A18" s="3" t="s">
        <v>32</v>
      </c>
      <c r="B18">
        <v>1424161.2499999986</v>
      </c>
    </row>
    <row r="19" spans="1:2" x14ac:dyDescent="0.3">
      <c r="A19" s="3" t="s">
        <v>22</v>
      </c>
      <c r="B19">
        <v>911918.66999999981</v>
      </c>
    </row>
    <row r="20" spans="1:2" x14ac:dyDescent="0.3">
      <c r="A20" s="3" t="s">
        <v>548</v>
      </c>
      <c r="B20">
        <v>11296.71</v>
      </c>
    </row>
    <row r="21" spans="1:2" x14ac:dyDescent="0.3">
      <c r="A21" s="3" t="s">
        <v>800</v>
      </c>
      <c r="B21">
        <v>5474.98</v>
      </c>
    </row>
    <row r="22" spans="1:2" x14ac:dyDescent="0.3">
      <c r="A22" s="3" t="s">
        <v>87</v>
      </c>
      <c r="B22">
        <v>429749.08999999985</v>
      </c>
    </row>
    <row r="23" spans="1:2" x14ac:dyDescent="0.3">
      <c r="A23" s="3" t="s">
        <v>42</v>
      </c>
      <c r="B23">
        <v>717739.36999999953</v>
      </c>
    </row>
    <row r="24" spans="1:2" x14ac:dyDescent="0.3">
      <c r="A24" s="3" t="s">
        <v>1413</v>
      </c>
      <c r="B24">
        <v>1924.69</v>
      </c>
    </row>
    <row r="25" spans="1:2" x14ac:dyDescent="0.3">
      <c r="A25" s="3" t="s">
        <v>8</v>
      </c>
      <c r="B25">
        <v>9957056.9099999871</v>
      </c>
    </row>
    <row r="26" spans="1:2" x14ac:dyDescent="0.3">
      <c r="A26" s="3" t="s">
        <v>3076</v>
      </c>
      <c r="B26">
        <v>15419773.749999985</v>
      </c>
    </row>
    <row r="30" spans="1:2" x14ac:dyDescent="0.3">
      <c r="A30" s="2" t="s">
        <v>3075</v>
      </c>
      <c r="B30" t="s">
        <v>3078</v>
      </c>
    </row>
    <row r="31" spans="1:2" x14ac:dyDescent="0.3">
      <c r="A31" s="3" t="s">
        <v>1394</v>
      </c>
      <c r="B31">
        <v>2.33</v>
      </c>
    </row>
    <row r="32" spans="1:2" x14ac:dyDescent="0.3">
      <c r="A32" s="3" t="s">
        <v>12</v>
      </c>
      <c r="B32">
        <v>4.2377777777777776</v>
      </c>
    </row>
    <row r="33" spans="1:2" x14ac:dyDescent="0.3">
      <c r="A33" s="3" t="s">
        <v>418</v>
      </c>
      <c r="B33">
        <v>3.7949999999999999</v>
      </c>
    </row>
    <row r="34" spans="1:2" x14ac:dyDescent="0.3">
      <c r="A34" s="3" t="s">
        <v>152</v>
      </c>
      <c r="B34">
        <v>4.0580000000000007</v>
      </c>
    </row>
    <row r="35" spans="1:2" x14ac:dyDescent="0.3">
      <c r="A35" s="3" t="s">
        <v>101</v>
      </c>
      <c r="B35">
        <v>4.3831818181818178</v>
      </c>
    </row>
    <row r="36" spans="1:2" x14ac:dyDescent="0.3">
      <c r="A36" s="3" t="s">
        <v>309</v>
      </c>
      <c r="B36">
        <v>4.1876923076923074</v>
      </c>
    </row>
    <row r="37" spans="1:2" x14ac:dyDescent="0.3">
      <c r="A37" s="3" t="s">
        <v>67</v>
      </c>
      <c r="B37">
        <v>4.0199999999999996</v>
      </c>
    </row>
    <row r="38" spans="1:2" x14ac:dyDescent="0.3">
      <c r="A38" s="3" t="s">
        <v>24</v>
      </c>
      <c r="B38">
        <v>4.1908510638297871</v>
      </c>
    </row>
    <row r="39" spans="1:2" x14ac:dyDescent="0.3">
      <c r="A39" s="3" t="s">
        <v>777</v>
      </c>
      <c r="B39">
        <v>4.2900000000000009</v>
      </c>
    </row>
    <row r="40" spans="1:2" x14ac:dyDescent="0.3">
      <c r="A40" s="3" t="s">
        <v>368</v>
      </c>
      <c r="B40">
        <v>4.2225000000000001</v>
      </c>
    </row>
    <row r="41" spans="1:2" x14ac:dyDescent="0.3">
      <c r="A41" s="3" t="s">
        <v>1335</v>
      </c>
      <c r="B41">
        <v>4.5</v>
      </c>
    </row>
    <row r="42" spans="1:2" x14ac:dyDescent="0.3">
      <c r="A42" s="3" t="s">
        <v>241</v>
      </c>
      <c r="B42">
        <v>4.3049999999999997</v>
      </c>
    </row>
    <row r="43" spans="1:2" x14ac:dyDescent="0.3">
      <c r="A43" s="3" t="s">
        <v>38</v>
      </c>
      <c r="B43">
        <v>4.1188888888888888</v>
      </c>
    </row>
    <row r="44" spans="1:2" x14ac:dyDescent="0.3">
      <c r="A44" s="3" t="s">
        <v>947</v>
      </c>
      <c r="B44">
        <v>4.3600000000000003</v>
      </c>
    </row>
    <row r="45" spans="1:2" x14ac:dyDescent="0.3">
      <c r="A45" s="3" t="s">
        <v>32</v>
      </c>
      <c r="B45">
        <v>4.2199399399399402</v>
      </c>
    </row>
    <row r="46" spans="1:2" x14ac:dyDescent="0.3">
      <c r="A46" s="3" t="s">
        <v>22</v>
      </c>
      <c r="B46">
        <v>4.1680981595092028</v>
      </c>
    </row>
    <row r="47" spans="1:2" x14ac:dyDescent="0.3">
      <c r="A47" s="3" t="s">
        <v>548</v>
      </c>
      <c r="B47">
        <v>4.4880000000000004</v>
      </c>
    </row>
    <row r="48" spans="1:2" x14ac:dyDescent="0.3">
      <c r="A48" s="3" t="s">
        <v>800</v>
      </c>
      <c r="B48">
        <v>3.855</v>
      </c>
    </row>
    <row r="49" spans="1:2" x14ac:dyDescent="0.3">
      <c r="A49" s="3" t="s">
        <v>87</v>
      </c>
      <c r="B49">
        <v>4.1312800000000003</v>
      </c>
    </row>
    <row r="50" spans="1:2" x14ac:dyDescent="0.3">
      <c r="A50" s="3" t="s">
        <v>42</v>
      </c>
      <c r="B50">
        <v>4.2261413043478253</v>
      </c>
    </row>
    <row r="51" spans="1:2" x14ac:dyDescent="0.3">
      <c r="A51" s="3" t="s">
        <v>1413</v>
      </c>
      <c r="B51">
        <v>3.9</v>
      </c>
    </row>
    <row r="52" spans="1:2" x14ac:dyDescent="0.3">
      <c r="A52" s="3" t="s">
        <v>8</v>
      </c>
      <c r="B52">
        <v>4.1230843237125132</v>
      </c>
    </row>
    <row r="53" spans="1:2" x14ac:dyDescent="0.3">
      <c r="A53" s="3" t="s">
        <v>3076</v>
      </c>
      <c r="B53">
        <v>4.1506610455311819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States</vt:lpstr>
      <vt:lpstr>Monthly</vt:lpstr>
      <vt:lpstr>Matrix</vt:lpstr>
      <vt:lpstr>Scorecard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5 177</dc:creator>
  <cp:lastModifiedBy>5 177</cp:lastModifiedBy>
  <dcterms:created xsi:type="dcterms:W3CDTF">2026-09-08T11:24:50Z</dcterms:created>
  <dcterms:modified xsi:type="dcterms:W3CDTF">2026-09-11T13:44:09Z</dcterms:modified>
</cp:coreProperties>
</file>